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rivi\HUB\KV-KUS\code\inventory_system\data\"/>
    </mc:Choice>
  </mc:AlternateContent>
  <xr:revisionPtr revIDLastSave="0" documentId="13_ncr:1_{E081037B-D12F-46FA-AB30-F2D987C9A86B}" xr6:coauthVersionLast="47" xr6:coauthVersionMax="47" xr10:uidLastSave="{00000000-0000-0000-0000-000000000000}"/>
  <bookViews>
    <workbookView xWindow="0" yWindow="-16320" windowWidth="29040" windowHeight="15720" activeTab="1" xr2:uid="{00000000-000D-0000-FFFF-FFFF00000000}"/>
  </bookViews>
  <sheets>
    <sheet name="table1" sheetId="5" r:id="rId1"/>
    <sheet name="table2" sheetId="6" r:id="rId2"/>
  </sheets>
  <definedNames>
    <definedName name="_xlnm._FilterDatabase" localSheetId="0" hidden="1">table1!$A$1:$S$193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5" l="1"/>
  <c r="M2" i="5"/>
  <c r="N2" i="5"/>
  <c r="N3" i="5"/>
  <c r="N115" i="5" l="1"/>
  <c r="N116" i="5"/>
  <c r="N118" i="5"/>
  <c r="N126" i="5"/>
  <c r="N123" i="5"/>
  <c r="N124" i="5"/>
  <c r="N132" i="5"/>
  <c r="N127" i="5"/>
  <c r="N128" i="5"/>
  <c r="N135" i="5"/>
  <c r="N136" i="5"/>
  <c r="N137" i="5"/>
  <c r="N138" i="5"/>
  <c r="N139" i="5"/>
  <c r="N140" i="5"/>
  <c r="N134" i="5"/>
  <c r="N113" i="5" l="1"/>
  <c r="M49" i="5" l="1"/>
  <c r="L111" i="5" l="1"/>
  <c r="N105" i="5" l="1"/>
  <c r="N106" i="5"/>
  <c r="N104" i="5"/>
  <c r="N103" i="5"/>
  <c r="N102" i="5"/>
  <c r="N69" i="5"/>
  <c r="N68" i="5"/>
  <c r="N66" i="5"/>
  <c r="N67" i="5"/>
  <c r="M66" i="5"/>
  <c r="N65" i="5"/>
  <c r="M65" i="5"/>
  <c r="N73" i="5"/>
  <c r="M64" i="5"/>
  <c r="N64" i="5"/>
  <c r="N49" i="5"/>
  <c r="N48" i="5"/>
  <c r="M48" i="5"/>
  <c r="N47" i="5"/>
  <c r="M47" i="5"/>
  <c r="N81" i="5" l="1"/>
  <c r="N80" i="5"/>
  <c r="N79" i="5"/>
  <c r="N98" i="5"/>
  <c r="N99" i="5"/>
  <c r="N107" i="5"/>
  <c r="N94" i="5"/>
  <c r="N84" i="5"/>
  <c r="N111" i="5"/>
  <c r="N82" i="5"/>
  <c r="N74" i="5"/>
  <c r="N75" i="5"/>
  <c r="N76" i="5"/>
  <c r="N77" i="5"/>
  <c r="N70" i="5"/>
  <c r="N95" i="5"/>
  <c r="N97" i="5"/>
  <c r="N96" i="5"/>
  <c r="N71" i="5"/>
  <c r="N72" i="5"/>
  <c r="N100" i="5"/>
  <c r="N101" i="5"/>
  <c r="N108" i="5"/>
  <c r="N181" i="5" l="1"/>
  <c r="N179" i="5"/>
  <c r="N180" i="5"/>
  <c r="N184" i="5"/>
  <c r="N190" i="5"/>
  <c r="N192" i="5"/>
  <c r="N193" i="5"/>
  <c r="N178" i="5"/>
  <c r="N144" i="5"/>
  <c r="N145" i="5"/>
  <c r="N146" i="5"/>
  <c r="N162" i="5"/>
  <c r="N163" i="5"/>
  <c r="N164" i="5"/>
  <c r="N165" i="5"/>
  <c r="N177" i="5"/>
  <c r="N142" i="5"/>
  <c r="N141" i="5"/>
  <c r="N131" i="5"/>
  <c r="N130" i="5"/>
  <c r="N129" i="5"/>
  <c r="N125" i="5"/>
  <c r="N122" i="5"/>
  <c r="N121" i="5"/>
  <c r="N120" i="5"/>
  <c r="N117" i="5"/>
  <c r="N114" i="5"/>
  <c r="N112" i="5"/>
  <c r="N51" i="5"/>
  <c r="N53" i="5"/>
  <c r="N54" i="5"/>
  <c r="N55" i="5"/>
  <c r="N56" i="5"/>
  <c r="N57" i="5"/>
  <c r="N58" i="5"/>
  <c r="N59" i="5"/>
  <c r="N60" i="5"/>
  <c r="N61" i="5"/>
  <c r="N62" i="5"/>
  <c r="N63" i="5"/>
  <c r="M51" i="5"/>
  <c r="M53" i="5"/>
  <c r="M54" i="5"/>
  <c r="M55" i="5"/>
  <c r="M56" i="5"/>
  <c r="M57" i="5"/>
  <c r="M58" i="5"/>
  <c r="M59" i="5"/>
  <c r="M60" i="5"/>
  <c r="M61" i="5"/>
  <c r="M62" i="5"/>
  <c r="M63" i="5"/>
  <c r="N50" i="5"/>
  <c r="M50" i="5"/>
  <c r="L45" i="5" l="1"/>
  <c r="N45" i="5" s="1"/>
  <c r="L30" i="5"/>
  <c r="L28" i="5"/>
  <c r="L27" i="5"/>
  <c r="L26" i="5"/>
  <c r="M45" i="5" l="1"/>
  <c r="M46" i="5"/>
  <c r="M38" i="5" l="1"/>
  <c r="M39" i="5"/>
  <c r="M40" i="5"/>
  <c r="M41" i="5"/>
  <c r="M42" i="5"/>
  <c r="M43" i="5"/>
  <c r="M44" i="5"/>
  <c r="N35" i="5"/>
  <c r="N36" i="5"/>
  <c r="N37" i="5"/>
  <c r="N38" i="5"/>
  <c r="N39" i="5"/>
  <c r="N40" i="5"/>
  <c r="N41" i="5"/>
  <c r="N42" i="5"/>
  <c r="N43" i="5"/>
  <c r="N44" i="5"/>
  <c r="N46" i="5"/>
  <c r="M35" i="5"/>
  <c r="M36" i="5"/>
  <c r="M37" i="5"/>
  <c r="N4" i="5" l="1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M5" i="5"/>
  <c r="M7" i="5"/>
  <c r="M16" i="5"/>
  <c r="M18" i="5"/>
  <c r="M21" i="5"/>
  <c r="M22" i="5"/>
  <c r="M23" i="5"/>
  <c r="M24" i="5"/>
  <c r="M25" i="5"/>
  <c r="M26" i="5"/>
  <c r="M27" i="5"/>
  <c r="M28" i="5"/>
  <c r="M29" i="5"/>
  <c r="M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Stammwitz Michelle</author>
  </authors>
  <commentList>
    <comment ref="O127" authorId="0" shapeId="0" xr:uid="{594B1C83-77A6-4CAC-9656-07323B544E63}">
      <text>
        <r>
          <rPr>
            <b/>
            <sz val="9"/>
            <color indexed="81"/>
            <rFont val="Segoe UI"/>
            <family val="2"/>
          </rPr>
          <t>Stammwitz Michelle:</t>
        </r>
        <r>
          <rPr>
            <sz val="9"/>
            <color indexed="81"/>
            <rFont val="Segoe UI"/>
            <family val="2"/>
          </rPr>
          <t xml:space="preserve">
Hinweis: Artikel hat noch 0 Bewertungen auf relativ unbekanntem(?) Shop (Bavord). 
--&gt; Artikel mit besserer Qualität (Erstvorschlag) wäre auch in höherer Stückzahl als möglich (14 Stück 5.000€ netto; Stückpreis: brutto 421€, netto 354€)
1. Vorschlag von Frau Schillo: https://www.biertischgarnituren-shop.de/produkt/premium-bierzeltgarnitur-set-70-mit-lehne/ (Ähnlicher Preis, gleiches Aussehen).
Brauereiqualität/stabiler,  
2. Über ruku sind die (gleichen?) Garnituren auch bedruckbar (war angedacht für Ausstattung mobiler Dritter Ort?)
https://www.ruku1952.de/de/bierzeltgarnituren-mit-lehne/220x75-kiefer, innerhalb Budget 
(Referenzen für das Modell)
https://www.ruku1952.de/de/referenzen?srsltid=AfmBOorSxyrhOWUHsHTerCm2pcCgFn8G09rEmQp07TJDR8Y97rLqDLgt
</t>
        </r>
      </text>
    </comment>
  </commentList>
</comments>
</file>

<file path=xl/sharedStrings.xml><?xml version="1.0" encoding="utf-8"?>
<sst xmlns="http://schemas.openxmlformats.org/spreadsheetml/2006/main" count="2186" uniqueCount="460">
  <si>
    <t>Anzahl</t>
  </si>
  <si>
    <t>Einzelpreis / brutto</t>
  </si>
  <si>
    <t>Gesamtpreis / netto</t>
  </si>
  <si>
    <t>Gesamtpreis / brutto</t>
  </si>
  <si>
    <t>Bezugsquelle / Lieferant</t>
  </si>
  <si>
    <t>ggfs. Link zum Shop</t>
  </si>
  <si>
    <t>Tablet</t>
  </si>
  <si>
    <t>Gemeinde</t>
  </si>
  <si>
    <t>Einsatzort</t>
  </si>
  <si>
    <t>Apple</t>
  </si>
  <si>
    <t>Bestellt</t>
  </si>
  <si>
    <t xml:space="preserve">Geliefert </t>
  </si>
  <si>
    <t>Bezahlt</t>
  </si>
  <si>
    <t>Übergeben</t>
  </si>
  <si>
    <t>Lieferant</t>
  </si>
  <si>
    <t>Leinwand</t>
  </si>
  <si>
    <t>Pos</t>
  </si>
  <si>
    <t>Kaffeemaschine</t>
  </si>
  <si>
    <t>Beamer</t>
  </si>
  <si>
    <t>Amazon</t>
  </si>
  <si>
    <t>St. Julian</t>
  </si>
  <si>
    <t>innen</t>
  </si>
  <si>
    <t>Kategorie</t>
  </si>
  <si>
    <t>Digitales Flipchart</t>
  </si>
  <si>
    <t>office-partner.de</t>
  </si>
  <si>
    <t>https://www.office-partner.de/samsung-flip-pro-wm65b-neomounts-ns-m1250white-x1000032116?utm_campaign=retailerweb&amp;utm_source=152384&amp;utm_medium=banner&amp;0=&amp;ra_id=5042516353&amp;1</t>
  </si>
  <si>
    <t>Epson</t>
  </si>
  <si>
    <t xml:space="preserve">https://www.mediamarkt.de/de/product/_epson-eh-ls650b-beameruhd-4k-1800-lumen-129205792.html </t>
  </si>
  <si>
    <t>Media Markt</t>
  </si>
  <si>
    <t>Smart TV mit Ständer</t>
  </si>
  <si>
    <t>KTC</t>
  </si>
  <si>
    <t xml:space="preserve">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</t>
  </si>
  <si>
    <t>Multifunktionsdrucker</t>
  </si>
  <si>
    <t>Böttcher AG</t>
  </si>
  <si>
    <t>Oki</t>
  </si>
  <si>
    <t xml:space="preserve">https://www.bueromarkt-ag.de/multifunktionsgeraet_oki_mc853dnct,p-mc853dnct.html </t>
  </si>
  <si>
    <t>3D Drucker</t>
  </si>
  <si>
    <t>Bambu Lab</t>
  </si>
  <si>
    <t>Bambu Lab Online Shop</t>
  </si>
  <si>
    <t>https://eu.store.bambulab.com/de/products/h2d?from=navigation&amp;id=596571526990503937</t>
  </si>
  <si>
    <t>Elektrogeräte</t>
  </si>
  <si>
    <t>Kühlschrank</t>
  </si>
  <si>
    <t>GMG Gastro Online Shop</t>
  </si>
  <si>
    <t>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</t>
  </si>
  <si>
    <t>LTE Router</t>
  </si>
  <si>
    <t>Gastro</t>
  </si>
  <si>
    <t>Philips</t>
  </si>
  <si>
    <t>https://fritz.com/en/products/fritz-box-6860-5g-20003048</t>
  </si>
  <si>
    <t>Fritz!</t>
  </si>
  <si>
    <t>FRITZ!Box</t>
  </si>
  <si>
    <t>Samsung</t>
  </si>
  <si>
    <t>https://www.apple.com/de/shop/buy-ipad/ipad-pro/13%22-display-512gb-space-schwarz-wifi-standardglas</t>
  </si>
  <si>
    <t>Apple Pencil Pro</t>
  </si>
  <si>
    <t>https://www.apple.com/de/shop/product/MX2D3ZM/A/apple-pencil-pro?fnode=2f418c8d1aed5350c7c7bcec29dcc1a9995e6dfd72e1e010114488550e43e4a84769ca95cf066c48b055cd4c40a26e73cf257855156177ba7a0cd28229a03fc06822327b8a728a27cf8d07e442a3e3bf370a210ac007519b60a83e740fad95a2</t>
  </si>
  <si>
    <t>https://www.apple.com/de/shop/product/MWR53D/A/magic-keyboard-f%C3%BCr-13-ipad-pro-m4-deutsch-schwarz</t>
  </si>
  <si>
    <t>Apple Magic Keyboard schwarz</t>
  </si>
  <si>
    <t>https://www.apple.com/de/shop/buy-mac/macbook-air/15-zoll-silber-m4-chip-mit-10-core-cpu-10-core-gpu-16-gb-arbeitsspeicher-256gb#</t>
  </si>
  <si>
    <t>https://www.apple.com/de/shop/product/MXK53Z/A/magic-mouse-usb%E2%80%91c-weiße-multi-touch-oberfläche?fnode=d2c80cfc3ca4c981ae96f4088cc087cb61c51dd962dc386db44b315d13a98efb8a5d1c6699d2bdd5459f8f8a274d4fdafcbe02a504fb4f87a0c4dc7196fdf40239038fe7659114c78adc869ddbb349a1de37cec56c4a4c22cc123f984aa3a4f1</t>
  </si>
  <si>
    <t>Apple Magic Mouse</t>
  </si>
  <si>
    <t>https://www.apple.com/de/shop/buy-mac/imac/silber-24-zoll-standardglas-apple-m4-chip-mit-10-core-cpu-und-10-core-gpu-16-gb-arbeitsspeicher-256gb</t>
  </si>
  <si>
    <t xml:space="preserve">iMac M4 (512 GB, mit Ziffernblock) </t>
  </si>
  <si>
    <t>Celexon</t>
  </si>
  <si>
    <t>Conrad</t>
  </si>
  <si>
    <t>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</t>
  </si>
  <si>
    <t>Klimagerät</t>
  </si>
  <si>
    <t>Dyson</t>
  </si>
  <si>
    <t xml:space="preserve">https://www.dyson.de/raumklima/luftreiniger-heizluefter/purifier-hot-cool-hp1/weiss </t>
  </si>
  <si>
    <t>Videokonferenzsystem/Konferenzkamera</t>
  </si>
  <si>
    <t>Logitech</t>
  </si>
  <si>
    <t>https://www.bueromarkt-ag.de/konferenzkamera_logitech_bcc950_conferencecam,p-960-000867,l-google-css,pd-b2c.html?utm_source=google&amp;utm_medium=cpc&amp;utm_campaign=20144954577&amp;gad_source=1</t>
  </si>
  <si>
    <t>JBL</t>
  </si>
  <si>
    <t>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</t>
  </si>
  <si>
    <t>https://www.mediamarkt.de/de/product/_jbl-partybox-wireless-mikrofon-schwarz-2917734.html</t>
  </si>
  <si>
    <t>Mikrofon</t>
  </si>
  <si>
    <t>Analoge Technikergänzung</t>
  </si>
  <si>
    <t>Schaefer Shop</t>
  </si>
  <si>
    <t>Maul</t>
  </si>
  <si>
    <t>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</t>
  </si>
  <si>
    <t>Analoges Flipchart</t>
  </si>
  <si>
    <t>Leinwand Rollo</t>
  </si>
  <si>
    <t>Verbrauchsmaterial</t>
  </si>
  <si>
    <t>Etikettiergerät</t>
  </si>
  <si>
    <t>https://www.otto-office.com/de/Brother-P-touch-P700-Beschriftungsgeraet/90217/p?source=suggest&amp;suggesttype=product</t>
  </si>
  <si>
    <t>Brother</t>
  </si>
  <si>
    <t>Laminiergerät</t>
  </si>
  <si>
    <t>Leitz</t>
  </si>
  <si>
    <t>https://www.bueromarkt-ag.de/laminiergeraet_leitz_74744000_ilam_touch_2_a3,p-74744000,l-google-css,pd-b2c.html?utm_source=google&amp;utm_medium=cpc&amp;utm_campaign=20144954589&amp;gad_source=1</t>
  </si>
  <si>
    <t>Kaffeetassen 6er</t>
  </si>
  <si>
    <t>Hauswirtschaftliche Ausstattung</t>
  </si>
  <si>
    <t>Kaffeelöffel 12er</t>
  </si>
  <si>
    <t>Gläser 6er</t>
  </si>
  <si>
    <t>Planhülse Kunststoff A0</t>
  </si>
  <si>
    <t>Planhülse Kunststoff A1</t>
  </si>
  <si>
    <t>Bodenschutzmatte Schreibtischstuhl</t>
  </si>
  <si>
    <t>Schmutzfangmatte 90x120</t>
  </si>
  <si>
    <t>Laminierfolie A4</t>
  </si>
  <si>
    <t>Laminierfolie A3</t>
  </si>
  <si>
    <t xml:space="preserve">Hersteller </t>
  </si>
  <si>
    <t>Möbel</t>
  </si>
  <si>
    <t>Höhenverstellbarer Schreibtische</t>
  </si>
  <si>
    <t>Bürostuhl</t>
  </si>
  <si>
    <t>Stahlschrank abschließbar hoch</t>
  </si>
  <si>
    <t>Stahlschrank abschließbar niedrig</t>
  </si>
  <si>
    <t>Lagerregal</t>
  </si>
  <si>
    <t>Vitrine 45x45</t>
  </si>
  <si>
    <t>Vitrine 85x45</t>
  </si>
  <si>
    <t>Orga/Büroausstattung/Archiv</t>
  </si>
  <si>
    <t>Filament Starter (3D Drucker)</t>
  </si>
  <si>
    <t>Filament Refill (3D Drucker)</t>
  </si>
  <si>
    <t>https://www.bueromarkt-ag.de/kaffeebecher_ritzenhoffundbreker_suomi_310ml,p-59700-1,l-google-prd,pd-b2c.html?utm_source=google&amp;utm_medium=cpc&amp;utm_campaign=19706804280&amp;gad_source=1</t>
  </si>
  <si>
    <t>https://www.bueromarkt-ag.de/kaffeeloeffel_wmf_professional_base_edelstahl,p-1223076040.html</t>
  </si>
  <si>
    <t>https://www.bueromarkt-ag.de/trinkglaeser_ritzenhoffundbreker_4all_longdrink,p-690224.html</t>
  </si>
  <si>
    <t>https://www.bueromarkt-ag.de/versandhuelse_eichner_transparent_laenge_600-1450mm,p-9703-00059.html</t>
  </si>
  <si>
    <t>https://www.bueromarkt-ag.de/versandhuelse_rumold_transparent_laenge_350-620mm,p-bk65350.html</t>
  </si>
  <si>
    <t>https://www.bueromarkt-ag.de/bodenschutzmatte_floortex_valuemat_transparent,p-129017.html</t>
  </si>
  <si>
    <t>https://www.bueromarkt-ag.de/schmutzfangmatte_floordirekt_everest_sky,p-fd-564.html</t>
  </si>
  <si>
    <t>https://eu.store.bambulab.com/de/products/pla-basic-beginner-s-filament-pack</t>
  </si>
  <si>
    <t>https://eu.store.bambulab.com/de/products/pla-basic-refill-pack</t>
  </si>
  <si>
    <t>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</t>
  </si>
  <si>
    <t>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</t>
  </si>
  <si>
    <t>https://www.otto-office.com/de/HAMMERBACHER-Schreibtisch-XDSM19-Upper-Desk-180-cm-T-Fuss-silberfarben/96519/p?wkid=OO-4-DEoCX8aZbIVT9PpwAj</t>
  </si>
  <si>
    <t>https://www.bueromarkt-ag.de/rollcontainer_hammerbacher_b-serie_holz_buche,p-bac30b.html</t>
  </si>
  <si>
    <t>https://www.otto-office.com/de/HAMMERBACHER-Konferenztisch-DR08-Barcelona-80x80-cm-Gestell-schwarz/88016/p?wkid=OO-4-DE47Hw9ok77fGZFgiQ</t>
  </si>
  <si>
    <t>https://www.otto-office.com/de/SODEMATUB-Schreibtisch-160-cm-klappbar-alufarben/72538/p?wkid=OO-4-DEoCX8aZbIVT9PpwAj</t>
  </si>
  <si>
    <t>https://www.otto-office.com/de/Buerostuhl-mayer-Sitzmoebel-my-Wizard-mit-Armlehnen/341308/p?wkid=OO-4-DEoCX8aZbIVT9PpwAj</t>
  </si>
  <si>
    <t>https://www.otto-office.com/de/HAMMERBACHER-2er-Set-Stapelstuehle-Meeting-One/99829/p?wkid=OO-4-DEoCX8aZbIVT9PpwAj</t>
  </si>
  <si>
    <t>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</t>
  </si>
  <si>
    <t>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</t>
  </si>
  <si>
    <t>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</t>
  </si>
  <si>
    <t>https://buero-direkt24.de/drehturenschrank-pro-d4-4-oh/?gad_source=1&amp;gad_campaignid=18902378376&amp;gbraid=0AAAAADyzpHRFGy-Qy50vgpINcTrPDDdVm&amp;gclid=CjwKCAjwup3HBhAAEiwA7euZukKfztV9JSP2ayiPYnSzFlw63Q_1CJWQi10R0qmTkEjBiWDfGibI9BoCoxIQAvD_BwE</t>
  </si>
  <si>
    <t>https://www.otto-office.com/de/Kerkmann-Vitrine-expoline-45-cm-breit/57738/p?wkid=OO-4-DEoCX8aZbIVT9PpwAj</t>
  </si>
  <si>
    <t>https://www.otto-office.com/de/Kerkmann-Vitrine-expoline-85-cm-breit/57740/p?wkid=OO-4-DEoCX8aZbIVT9PpwAj</t>
  </si>
  <si>
    <t>Kaiserkraft</t>
  </si>
  <si>
    <t>buero-direkt24</t>
  </si>
  <si>
    <t>Einzelpreis / netto (Website)</t>
  </si>
  <si>
    <t>Otto Office*</t>
  </si>
  <si>
    <t>Hammerbacher</t>
  </si>
  <si>
    <t>Fellowes</t>
  </si>
  <si>
    <t xml:space="preserve">Bambu  </t>
  </si>
  <si>
    <t>Bambu</t>
  </si>
  <si>
    <t>Floordirekt</t>
  </si>
  <si>
    <t>Floortex</t>
  </si>
  <si>
    <t>Rumold</t>
  </si>
  <si>
    <t>Eichner</t>
  </si>
  <si>
    <t xml:space="preserve">Ritzenhoff &amp; Breker </t>
  </si>
  <si>
    <t>WMF</t>
  </si>
  <si>
    <t>Mayer</t>
  </si>
  <si>
    <t xml:space="preserve">SODEMATUB </t>
  </si>
  <si>
    <t xml:space="preserve">Konferenzstuhl 2er Set </t>
  </si>
  <si>
    <t>Eurokraft</t>
  </si>
  <si>
    <t>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</t>
  </si>
  <si>
    <t>Drehtürenschrank buche 120 cm, Schloss mittig</t>
  </si>
  <si>
    <t>Kerkmann</t>
  </si>
  <si>
    <t>Quirnbach</t>
  </si>
  <si>
    <t>Laptop</t>
  </si>
  <si>
    <t>Telefon</t>
  </si>
  <si>
    <t>Digitale Musikastation/ Karaoke-Set</t>
  </si>
  <si>
    <t>Router</t>
  </si>
  <si>
    <t>Beamer (mobiles Kino)</t>
  </si>
  <si>
    <t>Mobiles Smartboard</t>
  </si>
  <si>
    <t>Aktivierungstisch</t>
  </si>
  <si>
    <t>Kappeln</t>
  </si>
  <si>
    <t>Laiserpointer</t>
  </si>
  <si>
    <t>außen</t>
  </si>
  <si>
    <t>Elektrische Markise</t>
  </si>
  <si>
    <t>innen und außen</t>
  </si>
  <si>
    <t>Mobile Theke</t>
  </si>
  <si>
    <t>Beamer für kleineren Raum</t>
  </si>
  <si>
    <t>Eule / 360° Konferenzsystem</t>
  </si>
  <si>
    <t>Barrierefreiheit</t>
  </si>
  <si>
    <t>Rampe</t>
  </si>
  <si>
    <t>mobile Pavillons, inkl. Befestigung</t>
  </si>
  <si>
    <t>Garnituren mit Rückenlehne</t>
  </si>
  <si>
    <t>Beleuchtung</t>
  </si>
  <si>
    <t>Außenbeleuchtung</t>
  </si>
  <si>
    <t>Dienstleister/Fachfirma</t>
  </si>
  <si>
    <t>Pavillonbeleuchtung</t>
  </si>
  <si>
    <t>Anhänger für Abschließbare Lagerung</t>
  </si>
  <si>
    <t>Lautsprecheranlage außen, montiert</t>
  </si>
  <si>
    <t>Hoppstädten</t>
  </si>
  <si>
    <t>?</t>
  </si>
  <si>
    <t>Stehtische</t>
  </si>
  <si>
    <t>Metro</t>
  </si>
  <si>
    <t>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</t>
  </si>
  <si>
    <t>Panasonic</t>
  </si>
  <si>
    <t>Morelenet Kaufland Marketplace</t>
  </si>
  <si>
    <t>https://www.kaufland.de/product/347043117/</t>
  </si>
  <si>
    <t>Leinwand Deckeineinbau</t>
  </si>
  <si>
    <t>aadVision by Stiers</t>
  </si>
  <si>
    <t>Stiers</t>
  </si>
  <si>
    <t>https://stiers.de/produkt/smart-home-deckeneinbauleinwand-300-x-169-cm-ultra-white-projektionsflaeche-16-9-elektrisch-b1/</t>
  </si>
  <si>
    <t>Lautsprechersystem/Audioanlage</t>
  </si>
  <si>
    <t>Thomann</t>
  </si>
  <si>
    <t>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</t>
  </si>
  <si>
    <t>Warmhaltebehälter Bain Marie (Elektro)</t>
  </si>
  <si>
    <t>Bartscher</t>
  </si>
  <si>
    <t>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</t>
  </si>
  <si>
    <t>Warmhaltebehälter Chafing Dish (Gas)</t>
  </si>
  <si>
    <t>https://www.metro.de/marktplatz/product/41a91ff9-fa1f-42fb-a8fc-c95a222f4982</t>
  </si>
  <si>
    <t>Bühnenbeleuchtung</t>
  </si>
  <si>
    <t>Cameo</t>
  </si>
  <si>
    <t>https://www.thomann.de/de/cameo_q_spot_40_rgbw_white.htm?gad_source=1&amp;gad_campaignid=1576042969&amp;gbraid=0AAAAADuDMCU6zQMjXY41n3ysw_2MOD_ci&amp;gclid=EAIaIQobChMI0ZP8wKqokAMVq9hEBx3DOjOHEAQYAyABEgIlwvD_BwE</t>
  </si>
  <si>
    <t>Aktivtisch</t>
  </si>
  <si>
    <t>https://www.aktivtisch.de/preise</t>
  </si>
  <si>
    <t>Langweiler</t>
  </si>
  <si>
    <t>WLAN Router (Glasfaser) (Siehe H-P), evtl Hybrid</t>
  </si>
  <si>
    <t>Accesspoint draußen</t>
  </si>
  <si>
    <t>WLAN Repeater (Glasfaser) (siehe H-P)</t>
  </si>
  <si>
    <t>mobile Lautsprecheranlage mit Mikrofon</t>
  </si>
  <si>
    <t>Mobiler Bildschirm inkl. Fahrgestell (siehe Smart TV mit Ständer bei St. Julian) Budget mit 1500 höher, aber Budgetkürzungen ohnehin notwendig</t>
  </si>
  <si>
    <t>USB Adapter</t>
  </si>
  <si>
    <t>Stapelbare Stühle &amp; Tische für Innenbereich</t>
  </si>
  <si>
    <t>Pinnwände</t>
  </si>
  <si>
    <t>Präsentationskoffer</t>
  </si>
  <si>
    <t>Flipchart</t>
  </si>
  <si>
    <t>(Kaffeevollautomat)</t>
  </si>
  <si>
    <t>(Rampensystem)</t>
  </si>
  <si>
    <t>inkl.</t>
  </si>
  <si>
    <t>Drucker</t>
  </si>
  <si>
    <t>Repeater</t>
  </si>
  <si>
    <t>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</t>
  </si>
  <si>
    <t>Asus</t>
  </si>
  <si>
    <t>Router (3er)</t>
  </si>
  <si>
    <t>Ikarao</t>
  </si>
  <si>
    <t>https://www.amazon.de/dp/B084P3KP2S?ref=amzdv_ucc_dp_lod__B084P3KP2S</t>
  </si>
  <si>
    <t>Echo Show</t>
  </si>
  <si>
    <t>Otto</t>
  </si>
  <si>
    <t>https://www.otto.de/p/steelboxx-drehstuhl-buerodrehstuhl-bandscheiben-schreibtischstuhl-drehstuhl-buerostuhl-1-sitz-und-rueckenflaechen-sind-ergonomisch-geformt-S0G1S0A8/?variationId=S0G1S0A82NF2#ech=29343682</t>
  </si>
  <si>
    <t>Steelboxx</t>
  </si>
  <si>
    <t>https://www.otto.de/p/bmg-moebel-bueromoebel-set-office-edition-5-buero-set-8-tlg-tueren-abschliessbar-rollcontainer-S0F0S0NL/#variationId=S0F0S0NLA2M0</t>
  </si>
  <si>
    <t>BMG Möbel</t>
  </si>
  <si>
    <t>Otto (Set 8 teilig, Tisch nicht rollbar)</t>
  </si>
  <si>
    <t>Lautsprecher (mobiles Kino)</t>
  </si>
  <si>
    <t>https://hkaudio.com/de/produkte/p10j/</t>
  </si>
  <si>
    <t>H&amp;K</t>
  </si>
  <si>
    <t>Audio Anlage: Boxen</t>
  </si>
  <si>
    <t>https://www.thomann.de/de/lab_gruppen_ipx_2400.htm</t>
  </si>
  <si>
    <t>LAB Gruppen</t>
  </si>
  <si>
    <t>Audio Anlage: Verstärker</t>
  </si>
  <si>
    <t>https://hkaudio.com/de/produkte/s210-v/</t>
  </si>
  <si>
    <t>Audio Anlage: Subwoofer</t>
  </si>
  <si>
    <t>Audio Anlage: Rack Mixer USB</t>
  </si>
  <si>
    <t>https://www.musicstore.de/de_DE/EUR/Omnitronic-RM-1422FX-USB/art-PAH0019172-000#reviewBar</t>
  </si>
  <si>
    <t>Omnitronic</t>
  </si>
  <si>
    <t>Musicstore</t>
  </si>
  <si>
    <t>Audio Anlage: Transportkoffer</t>
  </si>
  <si>
    <t>https://www.thomann.de/de/thomann_rack_case_12u.htm</t>
  </si>
  <si>
    <t>Material Außenwasseranschluss (Installation in Eigenleistung)</t>
  </si>
  <si>
    <t>Material für Installationen</t>
  </si>
  <si>
    <t>Dienstleister/Sonderanfertigung</t>
  </si>
  <si>
    <t>Schreinerei Stefan Weiß</t>
  </si>
  <si>
    <t>Dienstleistung</t>
  </si>
  <si>
    <t>Kostenvoranschlag des Dienstleisters noch in KW43 erwartet</t>
  </si>
  <si>
    <t>Software</t>
  </si>
  <si>
    <t>MS Office Paket (Lokales Standardpaket)</t>
  </si>
  <si>
    <t>Microsoft</t>
  </si>
  <si>
    <t>hama</t>
  </si>
  <si>
    <t xml:space="preserve">egal </t>
  </si>
  <si>
    <t>Kompatibilität Tastatur?</t>
  </si>
  <si>
    <t>Außengestaltung</t>
  </si>
  <si>
    <t>Montage in Eigenleistung</t>
  </si>
  <si>
    <t>Außenplanen (Aufschlüsselung siehe Preisermittlungsdokument)</t>
  </si>
  <si>
    <t>Außenplanen Befestigungsmaterial</t>
  </si>
  <si>
    <t>rebo-planen.de</t>
  </si>
  <si>
    <t xml:space="preserve">Thomann </t>
  </si>
  <si>
    <t xml:space="preserve">Schreibtisch </t>
  </si>
  <si>
    <t xml:space="preserve">MacBook 15" (256 GB) </t>
  </si>
  <si>
    <t>Boden &amp; Wand</t>
  </si>
  <si>
    <t>Rumikewitz</t>
  </si>
  <si>
    <t>Malerfachbetrieb</t>
  </si>
  <si>
    <t>Sanitär &amp; Heizung</t>
  </si>
  <si>
    <t>Lukas &amp; Hebel Haustechnik GmbH</t>
  </si>
  <si>
    <t>Fachbetrieb</t>
  </si>
  <si>
    <t>Elektrik, Beleuchtung &amp; Netzwerk</t>
  </si>
  <si>
    <t>Verdunkelungsvorhänge</t>
  </si>
  <si>
    <t>Angebote und Vergabe steht noch aus, Schätzpreis der Gemeinde</t>
  </si>
  <si>
    <t xml:space="preserve">Ausmessung Außenplanen </t>
  </si>
  <si>
    <t>genaue Liste links neben Zeilennummer auf- oder einklappen (+/-)</t>
  </si>
  <si>
    <t>1 x T-Stück 18/ ½“ / 18</t>
  </si>
  <si>
    <t>1 x Schrägsitzventil ½“</t>
  </si>
  <si>
    <t>1 x Doppelnippel ½“, 60 mm</t>
  </si>
  <si>
    <t>1 x PP-Nippel 15 / ½“</t>
  </si>
  <si>
    <t>1 x Wandscheibe 15</t>
  </si>
  <si>
    <t>1 x Gerätehahn Schlösser ½“</t>
  </si>
  <si>
    <t>15 x Schelle 15</t>
  </si>
  <si>
    <t>10 x Winkel 15</t>
  </si>
  <si>
    <t>20 Meter CU-Rohr 15</t>
  </si>
  <si>
    <t>evtl. Kombiangebot mit Herstellung &amp; Lieferung Außenplanen, Preis bisher unbekannt</t>
  </si>
  <si>
    <t>nur Beispiel, Maße ungenau</t>
  </si>
  <si>
    <t>Kabellose Tastatur &amp; Maus</t>
  </si>
  <si>
    <t>Obsbot</t>
  </si>
  <si>
    <t>Reichelt</t>
  </si>
  <si>
    <t>https://www.reichelt.de/de/de/shop/produkt/ki-unterstuetzte_4k_ptz-streaming-kamera-370617?PRO_VID=2788&amp;gad_source=1&amp;gad_campaignid=183388+67917&amp;gclid=CjwKCAjwuePGBhBZEiwAIGCVSwHVH8z+zDuwbY4WHE0BV8G-FdheRSA5PzLSH9pV93wsYpRNomd+AD0xoCqGwQAvD_BwE</t>
  </si>
  <si>
    <t>https://www.mmobiel.com/de/mmobiel-hdmi-8k-glasfaserkabel-15m-48gbps-ultra-high-speed-8kat60hz-schwarz</t>
  </si>
  <si>
    <t>MMobiel</t>
  </si>
  <si>
    <t>Mmobiel</t>
  </si>
  <si>
    <t>HDMI Kabel Glasfaser 8K</t>
  </si>
  <si>
    <t>Konferenzkamera / 360° Kamera</t>
  </si>
  <si>
    <t>Teltec</t>
  </si>
  <si>
    <t>https://teltec.de/panasonic-pressit360-meeting-room-camera.html</t>
  </si>
  <si>
    <t>Beamer EB-L795SE</t>
  </si>
  <si>
    <t>https://www.epson.de/de_DE/produkte/projector/short-distance/eb-l795se%C2%A0%E2%80%93-7-000%C2%A0lumen%2C-4ke-kurzdistanz-projektor%2C-der-sich-auf-eine-emissionsfreie-zukunft-konzentriert-%280%2C79%E2%80%931%2C36%3A1%29/p/52434?pid=52434</t>
  </si>
  <si>
    <t>Barco</t>
  </si>
  <si>
    <t>Bechtle</t>
  </si>
  <si>
    <t>https://www.bechtle.com/shop/barco-cx-30-gen-2-praesentationssystem--4698535--p</t>
  </si>
  <si>
    <t>Apple /EDV?</t>
  </si>
  <si>
    <t>nicht endgültig! fensterversand.com</t>
  </si>
  <si>
    <t>Audio Anlage: Set mit 2 Mikrofonen</t>
  </si>
  <si>
    <t>LD Systems</t>
  </si>
  <si>
    <t>https://www.thomann.de/de/ld_systems_u505_hhd2.htm</t>
  </si>
  <si>
    <t>Audio Anlage: Steckdosenleiste</t>
  </si>
  <si>
    <t>t.racks</t>
  </si>
  <si>
    <t>https://www.thomann.de/de/the_t_racks_power_8_s.htm</t>
  </si>
  <si>
    <t>Audio Anlage: Rack-Schublade</t>
  </si>
  <si>
    <t>Audio Anlage: Kabel im Rack</t>
  </si>
  <si>
    <t>Audio Anlage: Audio Kabel Beamer Mixer</t>
  </si>
  <si>
    <t>Audio Anlage: Patchbay</t>
  </si>
  <si>
    <t>Audio Anlage: Verkabelung Rack</t>
  </si>
  <si>
    <t>Audio Anlage: Kabel Endstufe</t>
  </si>
  <si>
    <t>Thon</t>
  </si>
  <si>
    <t>https://www.thomann.de/de/thon_rackschublade_2he.htm</t>
  </si>
  <si>
    <t>https://www.thomann.de/de/cordial_cfm_05_fm_sw.htm</t>
  </si>
  <si>
    <t>Cordial</t>
  </si>
  <si>
    <t>Netzwerk: Access Point</t>
  </si>
  <si>
    <t>Netzwerk: Access Point Draußen</t>
  </si>
  <si>
    <t>Netzwerk: Switch</t>
  </si>
  <si>
    <t>Netzwerk: Controller</t>
  </si>
  <si>
    <t>Netzwerk: Netzwerkdose Doppelt</t>
  </si>
  <si>
    <t>Netzwerk: PoE Switch + Zubehör</t>
  </si>
  <si>
    <t>Netzwerk: Patchfeld</t>
  </si>
  <si>
    <t>Rollcontainer Buche</t>
  </si>
  <si>
    <t>Konferenztisch Buche</t>
  </si>
  <si>
    <t>Konferenztisch klappbar Buche</t>
  </si>
  <si>
    <t>Produkttyp</t>
  </si>
  <si>
    <t>Produktdetails</t>
  </si>
  <si>
    <t>Lautsprecher</t>
  </si>
  <si>
    <t>PC</t>
  </si>
  <si>
    <t xml:space="preserve">Party Box </t>
  </si>
  <si>
    <t>mit Scanfunktion</t>
  </si>
  <si>
    <t>Smart Home System</t>
  </si>
  <si>
    <t>Smart Speaker: Echo Show (für Senioren zur Ausleihe)</t>
  </si>
  <si>
    <t>Karaoke Set</t>
  </si>
  <si>
    <t>Smartboard</t>
  </si>
  <si>
    <t xml:space="preserve">iPad Pro 13" (512 GB) </t>
  </si>
  <si>
    <t>iPad</t>
  </si>
  <si>
    <t>Eule</t>
  </si>
  <si>
    <t>Rahmenvertrag EDV/IT</t>
  </si>
  <si>
    <t>Tastatur</t>
  </si>
  <si>
    <t>Tablet Stift</t>
  </si>
  <si>
    <t>PC Maus</t>
  </si>
  <si>
    <t>Tastatur &amp; Maus</t>
  </si>
  <si>
    <t>Streaming Kamera</t>
  </si>
  <si>
    <t>WLAN Kamera, KI-unterstützte 4K PTZ-Streaming-Kamera</t>
  </si>
  <si>
    <t>Dongle</t>
  </si>
  <si>
    <t>Drahtlossystem CX30 für drahtlose Präsentationen</t>
  </si>
  <si>
    <t>Mobiler Bildschirm</t>
  </si>
  <si>
    <t>Beamer? Nochmal prüfen, ob angefordert/gewollt</t>
  </si>
  <si>
    <t>EDV &amp; Technik</t>
  </si>
  <si>
    <t>Audio Anlage Angebot liegt noch nicht vor: Installation durch Fachfirma + ggf. Beschaffung der unten genannten Elemente</t>
  </si>
  <si>
    <t>Baumarkt oder evtl. doch über Dienstleister</t>
  </si>
  <si>
    <t>Dienstleister</t>
  </si>
  <si>
    <t>Firma Ulmke</t>
  </si>
  <si>
    <t>AK, 21.10.25</t>
  </si>
  <si>
    <t>https://www.bechtle.com/shop/owl-labs-meeting-owl-3-360-system--4644211--p</t>
  </si>
  <si>
    <t>https://hansrasenmaher.com/product/blyss-kofferanhaenger-146x304cm-hoehe210cm-27tverkaufsklappe-sonderinnenhoehe/</t>
  </si>
  <si>
    <t xml:space="preserve">Stapelstühle &amp; Tische </t>
  </si>
  <si>
    <t>Objektmöbel Laufer</t>
  </si>
  <si>
    <t>Angebotsnr: 22550423</t>
  </si>
  <si>
    <t>Stairville PDC5CC DMX Cable 25,0 m 5 pin</t>
  </si>
  <si>
    <t>Stairville PDC5CC DMX Cable 10,0 m 5 pin</t>
  </si>
  <si>
    <t xml:space="preserve">Stairville PDC5CC DMX Cable 3,0 m 5 pin </t>
  </si>
  <si>
    <t>Showtec SM-8/2 16 Channel Light Desk</t>
  </si>
  <si>
    <t xml:space="preserve">Global Truss F31200-B Truss 2,0m Black </t>
  </si>
  <si>
    <t xml:space="preserve">Duratruss BIG Trigger Clamp 250kg Black </t>
  </si>
  <si>
    <t>Stairville DMX Terminator XLR 5-Pol</t>
  </si>
  <si>
    <t xml:space="preserve">Cameo TS 200 FC LED Theater-Spot </t>
  </si>
  <si>
    <t xml:space="preserve">Varytec PT Link Cable 3x1,5mm² 3,0m </t>
  </si>
  <si>
    <t>Varytec PT Link Cable 3x1,5mm² 10,0m</t>
  </si>
  <si>
    <t xml:space="preserve">LD Systems Stinger 12 G3 </t>
  </si>
  <si>
    <t xml:space="preserve">LD Systems Stinger 15 G3 </t>
  </si>
  <si>
    <t xml:space="preserve">LD Systems Stinger G3 WMB 1 </t>
  </si>
  <si>
    <t xml:space="preserve">the t.amp E-1500 </t>
  </si>
  <si>
    <t>DAP-Audio IMIX-6.2</t>
  </si>
  <si>
    <t>pro snake TPL 20 LL</t>
  </si>
  <si>
    <t>pro snake TPL 5 LL</t>
  </si>
  <si>
    <t>pro snake TPL 15 LL</t>
  </si>
  <si>
    <t xml:space="preserve">pro snake TPM 0,5 </t>
  </si>
  <si>
    <t>LD Systems U518 HHD2</t>
  </si>
  <si>
    <t>Thon Rack 8U Live 50 Wheels</t>
  </si>
  <si>
    <t>Adam Hall 87471 T</t>
  </si>
  <si>
    <t>Thon 8U Live Rack rail</t>
  </si>
  <si>
    <t>Thon Rack Drawer 2U short</t>
  </si>
  <si>
    <t>Deckenbeleuchtung</t>
  </si>
  <si>
    <t>Kamera Panasonic Camcorder 4K (evtl. weglassen, falls Budget überschritten)</t>
  </si>
  <si>
    <t>keiner genannt, Vorschlag von Kappeln würde passen (Kostenaufstellung=5000€; Epson Beamer=4522€ netto) ODER EDV</t>
  </si>
  <si>
    <t>Ubiquiti</t>
  </si>
  <si>
    <t>Partenheimer Elektrik</t>
  </si>
  <si>
    <t>iPad 11" WiFi 128GB silber inkl. Hülle (MDM Lizenz)</t>
  </si>
  <si>
    <t>https://www.bavord.de/bierset-220x70cm-premium-mit-armlehne/?gad_source=1&amp;gad_campaignid=22473405259&amp;gclid=CjwKCAjwu9fHBhAWEiwAzGRC__wUL7073MjPNU5mEy9OI9FXpFCXv3W88v0txmQ9YxLQ6CS6eQln0RoCLWAQAvD_BwE</t>
  </si>
  <si>
    <t>gerne mehr, wenn preislich möglich</t>
  </si>
  <si>
    <t>https://www.jacob.de/produkte/Ubiquiti-UniFi-AP-UAP-AC-PRO-artnr-2537393.html?</t>
  </si>
  <si>
    <t>https://www.bueromarkt-ag.de/wlan-router_avm_fritz!box_4690,p-20003082,l-94511215,pd-b2c.html?</t>
  </si>
  <si>
    <t>Leistungsstarker Router für Glasfaser, FRITZ!Box 4690</t>
  </si>
  <si>
    <t>Access Point (Indoor &amp; Outdoor geeignet), Ubiquiti UniFi AP-AC PRO</t>
  </si>
  <si>
    <t>Netzwerk Konfigurationsmöglichkeit:</t>
  </si>
  <si>
    <t>Käfigmutternset</t>
  </si>
  <si>
    <t>https://www.reichelt.de/de/de/shop/produkt/10_wandgehaeuse_9he_tiefe_300mm-248770?nbc=1</t>
  </si>
  <si>
    <t>Netzwerkschrank "10</t>
  </si>
  <si>
    <t>Switch 8-Port</t>
  </si>
  <si>
    <t>https://www.reichelt.de/de/de/shop/produkt/switch_8-port_gigabit_ethernet_poe-223535?nbc=1</t>
  </si>
  <si>
    <t>https://www.reichelt.de/de/de/shop/produkt/steckdosenleiste_10_1he_4-fach-287611?nbc=1</t>
  </si>
  <si>
    <t>https://www.reichelt.de/de/de/shop/produkt/3_m_cat_6_pimf-patchkabel_gelb-63239?nbc=1</t>
  </si>
  <si>
    <t>https://www.reichelt.de/de/de/shop/produkt/0_5_m_cat_6_pimf-patchkabel_gelb-63236?nbc=1</t>
  </si>
  <si>
    <t>https://www.reichelt.de/de/de/shop/produkt/10_fachboden_einbautiefe_160_mm_tiefschwarz-248797?nbc=1</t>
  </si>
  <si>
    <t>https://www.reichelt.de/de/de/shop/produkt/kaefigmutternset_m5_50_stueck-374184?nbc=1</t>
  </si>
  <si>
    <t>LogiLink</t>
  </si>
  <si>
    <t>GoodConnections</t>
  </si>
  <si>
    <t>equip</t>
  </si>
  <si>
    <t>Netgear</t>
  </si>
  <si>
    <t>Steckdosenleiste 10“ 4-Fach</t>
  </si>
  <si>
    <t>3m Patchkabel Cat.6 (10x)</t>
  </si>
  <si>
    <t>0,5m Patchkabel Cat.6 (10x)</t>
  </si>
  <si>
    <t>Fachboden 10“ (3x)</t>
  </si>
  <si>
    <t>Stehtische rund</t>
  </si>
  <si>
    <t>https://www.biertischgarnituren-shop.de/produkt/stehtisch-atlas/</t>
  </si>
  <si>
    <t>Powerlock</t>
  </si>
  <si>
    <t>Diebstahlsicherung Anhänger Kupplungsschloss</t>
  </si>
  <si>
    <t>https://masta.nl/de/powerlock-t1-scm-anhangerkupplungsschloss-taschenmodell.html?gad_source=1&amp;gad_campaignid=22582361463&amp;gclid=CjwKCAjwu9fHBhAWEiwAzGRC__Ly6tM4sYwgRcY5Ni0wy50WA5rpKTNSBgYb4At6xX0r5-e84HPJRBoCO9YQAvD_BwE</t>
  </si>
  <si>
    <t xml:space="preserve">Oloaxolx </t>
  </si>
  <si>
    <t>https://www.amazon.de/wiederaufladbarem-Flightcase-Scheinwerfer-Fernbedienung-Wiederaufladbar/dp/B0F1F77V81?source=ps-sl-shoppingads-lpcontext&amp;ref_=fplfs&amp;smid=A1G9VTFD27IMKC&amp;th=1</t>
  </si>
  <si>
    <t>Toolport</t>
  </si>
  <si>
    <t>Gewichtsplatten für Faltpavillons 4 Stk. À 6 kg (davon 8 Stück)</t>
  </si>
  <si>
    <t>Profizelt24</t>
  </si>
  <si>
    <t>https://www.profizelt24.de/faltpavillon/zubehoer/sicherung/578713.html</t>
  </si>
  <si>
    <t>https://www.profizelt24.de/faltpavillon/zubehoer/sicherung/130647.html</t>
  </si>
  <si>
    <t>https://www.profizelt24.de/faltpavillon/59060.html?gad_source=1&amp;gad_campaignid=20929544315&amp;gclid=CjwKCAjwu9fHBhAWEiwAzGRC_w7xIv4dZJ4f5LVMuSuz8UAORM4o0q7G6ZbVIHunDn61CkhoQfHRBxoChPcQAvD_BwE</t>
  </si>
  <si>
    <t>https://www.metro.de/marktplatz/product/548303ab-7d67-4718-8b96-1e48a1a3b83b</t>
  </si>
  <si>
    <t>Sonnenschirm in grün rot oder orange mit Ständer</t>
  </si>
  <si>
    <t>Gewicht für Sonnenschirmständer</t>
  </si>
  <si>
    <t>https://www.metro.de/marktplatz/product/5ddc5b21-7f0a-4fba-8c47-b94b8b4e2179?fromSimilarProducts=1</t>
  </si>
  <si>
    <t>Wandabstandshalter für Roll-Leinwand</t>
  </si>
  <si>
    <t>https://www.bueromarkt-ag.de/beamer-leinwand_celexon_rollo_professional_plus,p-1090784.html</t>
  </si>
  <si>
    <t>Roll-Leinwand Celexon Professional 118 Zoll, 240 x 180 cm, Format 4:3, für kleineren Raum (Versammlungssaal im 1. OG)</t>
  </si>
  <si>
    <t>Wandabstand wählbar: 20, 50, 70 cm</t>
  </si>
  <si>
    <t>https://www.bueromarkt-ag.de/wandabstandshalterung_celexon_1090414_set_mit_2_stueck,p-1090414.html</t>
  </si>
  <si>
    <t>https://www.bueromarkt-ag.de/beamer_acer_h6805bda_mr.jtb11.00s_4k_uhd,p-h6805bda.html</t>
  </si>
  <si>
    <t>5000€ Beamer wäre möglich</t>
  </si>
  <si>
    <t xml:space="preserve">Dell Pro 16Plus </t>
  </si>
  <si>
    <t>EDV</t>
  </si>
  <si>
    <t>Auftrag 21.10.2025</t>
  </si>
  <si>
    <t>Dell</t>
  </si>
  <si>
    <t>seniorengerecht; iPad 11" WiFi 128GB silber inkl. Hülle (MDM Lizenz)</t>
  </si>
  <si>
    <t xml:space="preserve">Dell Pro </t>
  </si>
  <si>
    <t>Leinwand (mobiles kino)</t>
  </si>
  <si>
    <t>Beamer für großen Raum, mind. 5.000 Lumen</t>
  </si>
  <si>
    <t>EDV (Preis klären)</t>
  </si>
  <si>
    <t>75 Zoll Bildschirm und Wagen</t>
  </si>
  <si>
    <t>Dienstleistung/ Beleuchtung</t>
  </si>
  <si>
    <t>Herschweiler-Pettersheim</t>
  </si>
  <si>
    <t>Netzwerk: Netzwerkkabel Cat 7 Duplex (220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</si>
</sst>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CBFB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2" xfId="0" applyFont="1" applyFill="1" applyBorder="1" applyAlignment="1">
      <alignment horizontal="left" vertical="top"/>
    </xf>
    <xf numFmtId="0" fontId="1" fillId="0" borderId="2" xfId="0" applyFont="1" applyBorder="1"/>
    <xf numFmtId="0" fontId="0" fillId="3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4" borderId="2" xfId="0" applyFill="1" applyBorder="1"/>
    <xf numFmtId="0" fontId="0" fillId="4" borderId="0" xfId="0" applyFill="1"/>
    <xf numFmtId="0" fontId="6" fillId="8" borderId="2" xfId="1" applyFont="1" applyFill="1" applyBorder="1" applyAlignment="1">
      <alignment vertical="center"/>
    </xf>
    <xf numFmtId="2" fontId="0" fillId="0" borderId="2" xfId="0" applyNumberFormat="1" applyBorder="1"/>
    <xf numFmtId="2" fontId="1" fillId="2" borderId="2" xfId="0" applyNumberFormat="1" applyFont="1" applyFill="1" applyBorder="1" applyAlignment="1">
      <alignment horizontal="left" vertical="top"/>
    </xf>
    <xf numFmtId="2" fontId="0" fillId="4" borderId="2" xfId="0" applyNumberFormat="1" applyFill="1" applyBorder="1"/>
    <xf numFmtId="2" fontId="0" fillId="0" borderId="1" xfId="0" applyNumberFormat="1" applyBorder="1"/>
    <xf numFmtId="0" fontId="1" fillId="0" borderId="0" xfId="0" applyFont="1" applyAlignment="1">
      <alignment horizontal="left" vertical="top"/>
    </xf>
    <xf numFmtId="49" fontId="0" fillId="0" borderId="0" xfId="0" applyNumberFormat="1"/>
    <xf numFmtId="0" fontId="0" fillId="10" borderId="2" xfId="0" applyFill="1" applyBorder="1"/>
    <xf numFmtId="0" fontId="0" fillId="11" borderId="2" xfId="0" applyFill="1" applyBorder="1"/>
    <xf numFmtId="2" fontId="8" fillId="9" borderId="2" xfId="0" applyNumberFormat="1" applyFont="1" applyFill="1" applyBorder="1"/>
    <xf numFmtId="0" fontId="0" fillId="12" borderId="2" xfId="0" applyFill="1" applyBorder="1"/>
    <xf numFmtId="0" fontId="8" fillId="9" borderId="2" xfId="0" applyFont="1" applyFill="1" applyBorder="1"/>
    <xf numFmtId="0" fontId="1" fillId="2" borderId="2" xfId="0" applyFont="1" applyFill="1" applyBorder="1" applyAlignment="1">
      <alignment horizontal="left" vertical="top" wrapText="1"/>
    </xf>
    <xf numFmtId="0" fontId="2" fillId="0" borderId="2" xfId="1" applyBorder="1" applyAlignment="1">
      <alignment horizontal="left" wrapText="1"/>
    </xf>
    <xf numFmtId="0" fontId="2" fillId="4" borderId="2" xfId="1" applyFill="1" applyBorder="1" applyAlignment="1">
      <alignment horizontal="left" wrapText="1"/>
    </xf>
    <xf numFmtId="2" fontId="0" fillId="4" borderId="2" xfId="0" applyNumberForma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2" xfId="1" applyFill="1" applyBorder="1" applyAlignment="1">
      <alignment horizontal="left" wrapText="1"/>
    </xf>
    <xf numFmtId="0" fontId="2" fillId="0" borderId="2" xfId="1" applyBorder="1" applyAlignment="1">
      <alignment wrapText="1"/>
    </xf>
    <xf numFmtId="0" fontId="2" fillId="3" borderId="2" xfId="1" applyFill="1" applyBorder="1" applyAlignment="1">
      <alignment wrapText="1"/>
    </xf>
    <xf numFmtId="0" fontId="2" fillId="0" borderId="0" xfId="1" applyAlignment="1">
      <alignment horizontal="left" wrapText="1"/>
    </xf>
    <xf numFmtId="0" fontId="2" fillId="3" borderId="2" xfId="1" applyFill="1" applyBorder="1" applyAlignment="1">
      <alignment horizontal="left" wrapText="1"/>
    </xf>
    <xf numFmtId="0" fontId="6" fillId="8" borderId="2" xfId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2" fontId="0" fillId="8" borderId="2" xfId="0" applyNumberFormat="1" applyFill="1" applyBorder="1"/>
    <xf numFmtId="2" fontId="3" fillId="0" borderId="2" xfId="0" applyNumberFormat="1" applyFont="1" applyBorder="1"/>
    <xf numFmtId="2" fontId="0" fillId="6" borderId="2" xfId="0" applyNumberFormat="1" applyFill="1" applyBorder="1"/>
    <xf numFmtId="2" fontId="0" fillId="3" borderId="2" xfId="0" applyNumberFormat="1" applyFill="1" applyBorder="1"/>
    <xf numFmtId="2" fontId="0" fillId="0" borderId="0" xfId="0" applyNumberFormat="1"/>
    <xf numFmtId="2" fontId="0" fillId="5" borderId="2" xfId="0" applyNumberFormat="1" applyFill="1" applyBorder="1"/>
    <xf numFmtId="2" fontId="0" fillId="7" borderId="2" xfId="0" applyNumberFormat="1" applyFill="1" applyBorder="1"/>
    <xf numFmtId="2" fontId="6" fillId="7" borderId="2" xfId="0" applyNumberFormat="1" applyFont="1" applyFill="1" applyBorder="1"/>
    <xf numFmtId="2" fontId="6" fillId="8" borderId="2" xfId="0" applyNumberFormat="1" applyFont="1" applyFill="1" applyBorder="1"/>
    <xf numFmtId="2" fontId="7" fillId="0" borderId="2" xfId="0" applyNumberFormat="1" applyFont="1" applyBorder="1" applyAlignment="1">
      <alignment vertical="center"/>
    </xf>
    <xf numFmtId="2" fontId="6" fillId="0" borderId="2" xfId="0" applyNumberFormat="1" applyFont="1" applyBorder="1"/>
    <xf numFmtId="49" fontId="1" fillId="2" borderId="2" xfId="0" applyNumberFormat="1" applyFont="1" applyFill="1" applyBorder="1" applyAlignment="1">
      <alignment horizontal="left" vertical="top"/>
    </xf>
    <xf numFmtId="49" fontId="0" fillId="0" borderId="2" xfId="0" applyNumberFormat="1" applyBorder="1"/>
    <xf numFmtId="49" fontId="0" fillId="4" borderId="2" xfId="0" applyNumberFormat="1" applyFill="1" applyBorder="1"/>
    <xf numFmtId="49" fontId="1" fillId="0" borderId="2" xfId="0" applyNumberFormat="1" applyFont="1" applyBorder="1"/>
  </cellXfs>
  <cellStyles count="2">
    <cellStyle name="Hyperlink" xfId="1" builtinId="8"/>
    <cellStyle name="Normal" xfId="0" builtinId="0"/>
  </cellStyles>
  <dxfs count="10"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5" tint="-0.2499465926084170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>
          <bgColor rgb="FFE3CBFB"/>
        </patternFill>
      </fill>
    </dxf>
    <dxf>
      <font>
        <color rgb="FF032799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3CBFB"/>
      <color rgb="FFBC5610"/>
      <color rgb="FF95440D"/>
      <color rgb="FFA84E10"/>
      <color rgb="FF032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tto-office.com/de/Brother-P-touch-P700-Beschriftungsgeraet/90217/p?source=suggest&amp;suggesttype=product" TargetMode="External"/><Relationship Id="rId21" Type="http://schemas.openxmlformats.org/officeDocument/2006/relationships/hyperlink" Target="https://www.otto-office.com/de/Kerkmann-Vitrine-expoline-85-cm-breit/57740/p?wkid=OO-4-DEoCX8aZbIVT9PpwAj" TargetMode="External"/><Relationship Id="rId42" Type="http://schemas.openxmlformats.org/officeDocument/2006/relationships/hyperlink" Target="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" TargetMode="External"/><Relationship Id="rId47" Type="http://schemas.openxmlformats.org/officeDocument/2006/relationships/hyperlink" Target="https://stiers.de/produkt/smart-home-deckeneinbauleinwand-300-x-169-cm-ultra-white-projektionsflaeche-16-9-elektrisch-b1/" TargetMode="External"/><Relationship Id="rId63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68" Type="http://schemas.openxmlformats.org/officeDocument/2006/relationships/hyperlink" Target="https://www.thomann.de/de/cordial_cfm_05_fm_sw.htm" TargetMode="External"/><Relationship Id="rId84" Type="http://schemas.openxmlformats.org/officeDocument/2006/relationships/hyperlink" Target="https://www.amazon.de/wiederaufladbarem-Flightcase-Scheinwerfer-Fernbedienung-Wiederaufladbar/dp/B0F1F77V81?source=ps-sl-shoppingads-lpcontext&amp;ref_=fplfs&amp;smid=A1G9VTFD27IMKC&amp;th=1" TargetMode="External"/><Relationship Id="rId89" Type="http://schemas.openxmlformats.org/officeDocument/2006/relationships/hyperlink" Target="https://www.metro.de/marktplatz/product/5ddc5b21-7f0a-4fba-8c47-b94b8b4e2179?fromSimilarProducts=1" TargetMode="External"/><Relationship Id="rId16" Type="http://schemas.openxmlformats.org/officeDocument/2006/relationships/hyperlink" Target="https://www.otto-office.com/de/HAMMERBACHER-Schreibtisch-XDSM19-Upper-Desk-180-cm-T-Fuss-silberfarben/96519/p?wkid=OO-4-DEoCX8aZbIVT9PpwAj" TargetMode="External"/><Relationship Id="rId11" Type="http://schemas.openxmlformats.org/officeDocument/2006/relationships/hyperlink" Target="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" TargetMode="External"/><Relationship Id="rId32" Type="http://schemas.openxmlformats.org/officeDocument/2006/relationships/hyperlink" Target="https://www.bueromarkt-ag.de/versandhuelse_rumold_transparent_laenge_350-620mm,p-bk65350.html" TargetMode="External"/><Relationship Id="rId37" Type="http://schemas.openxmlformats.org/officeDocument/2006/relationships/hyperlink" Target="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" TargetMode="External"/><Relationship Id="rId53" Type="http://schemas.openxmlformats.org/officeDocument/2006/relationships/hyperlink" Target="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" TargetMode="External"/><Relationship Id="rId58" Type="http://schemas.openxmlformats.org/officeDocument/2006/relationships/hyperlink" Target="https://hkaudio.com/de/produkte/s210-v/" TargetMode="External"/><Relationship Id="rId74" Type="http://schemas.openxmlformats.org/officeDocument/2006/relationships/hyperlink" Target="https://www.bavord.de/bierset-220x70cm-premium-mit-armlehne/?gad_source=1&amp;gad_campaignid=22473405259&amp;gclid=CjwKCAjwu9fHBhAWEiwAzGRC__wUL7073MjPNU5mEy9OI9FXpFCXv3W88v0txmQ9YxLQ6CS6eQln0RoCLWAQAvD_BwE" TargetMode="External"/><Relationship Id="rId79" Type="http://schemas.openxmlformats.org/officeDocument/2006/relationships/hyperlink" Target="https://www.reichelt.de/de/de/shop/produkt/0_5_m_cat_6_pimf-patchkabel_gelb-63236?nbc=1" TargetMode="External"/><Relationship Id="rId5" Type="http://schemas.openxmlformats.org/officeDocument/2006/relationships/hyperlink" Target="https://www.apple.com/de/shop/buy-mac/imac/silber-24-zoll-standardglas-apple-m4-chip-mit-10-core-cpu-und-10-core-gpu-16-gb-arbeitsspeicher-256gb" TargetMode="External"/><Relationship Id="rId90" Type="http://schemas.openxmlformats.org/officeDocument/2006/relationships/hyperlink" Target="https://www.bueromarkt-ag.de/beamer-leinwand_celexon_rollo_professional_plus,p-1090784.html" TargetMode="External"/><Relationship Id="rId95" Type="http://schemas.openxmlformats.org/officeDocument/2006/relationships/hyperlink" Target="https://www.office-partner.de/samsung-flip-pro-wm65b-neomounts-ns-m1250white-x1000032116?utm_campaign=retailerweb&amp;utm_source=152384&amp;utm_medium=banner&amp;0=&amp;ra_id=5042516353&amp;1" TargetMode="External"/><Relationship Id="rId22" Type="http://schemas.openxmlformats.org/officeDocument/2006/relationships/hyperlink" Target="https://www.bueromarkt-ag.de/trinkglaeser_ritzenhoffundbreker_4all_longdrink,p-690224.html" TargetMode="External"/><Relationship Id="rId27" Type="http://schemas.openxmlformats.org/officeDocument/2006/relationships/hyperlink" Target="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" TargetMode="External"/><Relationship Id="rId43" Type="http://schemas.openxmlformats.org/officeDocument/2006/relationships/hyperlink" Target="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" TargetMode="External"/><Relationship Id="rId48" Type="http://schemas.openxmlformats.org/officeDocument/2006/relationships/hyperlink" Target="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" TargetMode="External"/><Relationship Id="rId64" Type="http://schemas.openxmlformats.org/officeDocument/2006/relationships/hyperlink" Target="https://www.bechtle.com/shop/barco-cx-30-gen-2-praesentationssystem--4698535--p" TargetMode="External"/><Relationship Id="rId69" Type="http://schemas.openxmlformats.org/officeDocument/2006/relationships/hyperlink" Target="https://www.bechtle.com/shop/owl-labs-meeting-owl-3-360-system--4644211--p" TargetMode="External"/><Relationship Id="rId80" Type="http://schemas.openxmlformats.org/officeDocument/2006/relationships/hyperlink" Target="https://www.reichelt.de/de/de/shop/produkt/10_fachboden_einbautiefe_160_mm_tiefschwarz-248797?nbc=1" TargetMode="External"/><Relationship Id="rId85" Type="http://schemas.openxmlformats.org/officeDocument/2006/relationships/hyperlink" Target="https://www.profizelt24.de/faltpavillon/zubehoer/sicherung/578713.html" TargetMode="External"/><Relationship Id="rId3" Type="http://schemas.openxmlformats.org/officeDocument/2006/relationships/hyperlink" Target="https://www.apple.com/de/shop/buy-ipad/ipad-pro/13%22-display-512gb-space-schwarz-wifi-standardglas" TargetMode="External"/><Relationship Id="rId12" Type="http://schemas.openxmlformats.org/officeDocument/2006/relationships/hyperlink" Target="https://fritz.com/en/products/fritz-box-6860-5g-20003048" TargetMode="External"/><Relationship Id="rId17" Type="http://schemas.openxmlformats.org/officeDocument/2006/relationships/hyperlink" Target="https://www.otto-office.com/de/HAMMERBACHER-2er-Set-Stapelstuehle-Meeting-One/99829/p?wkid=OO-4-DEoCX8aZbIVT9PpwAj" TargetMode="External"/><Relationship Id="rId25" Type="http://schemas.openxmlformats.org/officeDocument/2006/relationships/hyperlink" Target="https://www.bueromarkt-ag.de/laminiergeraet_leitz_74744000_ilam_touch_2_a3,p-74744000,l-google-css,pd-b2c.html?utm_source=google&amp;utm_medium=cpc&amp;utm_campaign=20144954589&amp;gad_source=1" TargetMode="External"/><Relationship Id="rId33" Type="http://schemas.openxmlformats.org/officeDocument/2006/relationships/hyperlink" Target="https://www.bueromarkt-ag.de/bodenschutzmatte_floortex_valuemat_transparent,p-129017.html" TargetMode="External"/><Relationship Id="rId38" Type="http://schemas.openxmlformats.org/officeDocument/2006/relationships/hyperlink" Target="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" TargetMode="External"/><Relationship Id="rId46" Type="http://schemas.openxmlformats.org/officeDocument/2006/relationships/hyperlink" Target="https://www.kaufland.de/product/347043117/" TargetMode="External"/><Relationship Id="rId59" Type="http://schemas.openxmlformats.org/officeDocument/2006/relationships/hyperlink" Target="https://www.musicstore.de/de_DE/EUR/Omnitronic-RM-1422FX-USB/art-PAH0019172-000" TargetMode="External"/><Relationship Id="rId67" Type="http://schemas.openxmlformats.org/officeDocument/2006/relationships/hyperlink" Target="https://www.thomann.de/de/thon_rackschublade_2he.htm" TargetMode="External"/><Relationship Id="rId20" Type="http://schemas.openxmlformats.org/officeDocument/2006/relationships/hyperlink" Target="https://www.otto-office.com/de/Kerkmann-Vitrine-expoline-45-cm-breit/57738/p?wkid=OO-4-DEoCX8aZbIVT9PpwAj" TargetMode="External"/><Relationship Id="rId41" Type="http://schemas.openxmlformats.org/officeDocument/2006/relationships/hyperlink" Target="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" TargetMode="External"/><Relationship Id="rId54" Type="http://schemas.openxmlformats.org/officeDocument/2006/relationships/hyperlink" Target="https://www.amazon.de/dp/B084P3KP2S?ref=amzdv_ucc_dp_lod__B084P3KP2S" TargetMode="External"/><Relationship Id="rId62" Type="http://schemas.openxmlformats.org/officeDocument/2006/relationships/hyperlink" Target="https://teltec.de/panasonic-pressit360-meeting-room-camera.html" TargetMode="External"/><Relationship Id="rId70" Type="http://schemas.openxmlformats.org/officeDocument/2006/relationships/hyperlink" Target="https://hansrasenmaher.com/product/blyss-kofferanhaenger-146x304cm-hoehe210cm-27tverkaufsklappe-sonderinnenhoehe/" TargetMode="External"/><Relationship Id="rId75" Type="http://schemas.openxmlformats.org/officeDocument/2006/relationships/hyperlink" Target="https://www.reichelt.de/de/de/shop/produkt/10_wandgehaeuse_9he_tiefe_300mm-248770?nbc=1" TargetMode="External"/><Relationship Id="rId83" Type="http://schemas.openxmlformats.org/officeDocument/2006/relationships/hyperlink" Target="https://masta.nl/de/powerlock-t1-scm-anhangerkupplungsschloss-taschenmodell.html?gad_source=1&amp;gad_campaignid=22582361463&amp;gclid=CjwKCAjwu9fHBhAWEiwAzGRC__Ly6tM4sYwgRcY5Ni0wy50WA5rpKTNSBgYb4At6xX0r5-e84HPJRBoCO9YQAvD_BwE" TargetMode="External"/><Relationship Id="rId88" Type="http://schemas.openxmlformats.org/officeDocument/2006/relationships/hyperlink" Target="https://www.metro.de/marktplatz/product/548303ab-7d67-4718-8b96-1e48a1a3b83b" TargetMode="External"/><Relationship Id="rId91" Type="http://schemas.openxmlformats.org/officeDocument/2006/relationships/hyperlink" Target="https://www.bueromarkt-ag.de/wandabstandshalterung_celexon_1090414_set_mit_2_stueck,p-1090414.html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" TargetMode="External"/><Relationship Id="rId6" Type="http://schemas.openxmlformats.org/officeDocument/2006/relationships/hyperlink" Target="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" TargetMode="External"/><Relationship Id="rId15" Type="http://schemas.openxmlformats.org/officeDocument/2006/relationships/hyperlink" Target="https://eu.store.bambulab.com/de/products/pla-basic-beginner-s-filament-pack" TargetMode="External"/><Relationship Id="rId23" Type="http://schemas.openxmlformats.org/officeDocument/2006/relationships/hyperlink" Target="https://www.bueromarkt-ag.de/kaffeeloeffel_wmf_professional_base_edelstahl,p-1223076040.html" TargetMode="External"/><Relationship Id="rId28" Type="http://schemas.openxmlformats.org/officeDocument/2006/relationships/hyperlink" Target="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" TargetMode="External"/><Relationship Id="rId36" Type="http://schemas.openxmlformats.org/officeDocument/2006/relationships/hyperlink" Target="https://www.otto-office.com/de/HAMMERBACHER-Konferenztisch-DR08-Barcelona-80x80-cm-Gestell-schwarz/88016/p?wkid=OO-4-DE47Hw9ok77fGZFgiQ" TargetMode="External"/><Relationship Id="rId49" Type="http://schemas.openxmlformats.org/officeDocument/2006/relationships/hyperlink" Target="https://www.metro.de/marktplatz/product/41a91ff9-fa1f-42fb-a8fc-c95a222f4982" TargetMode="External"/><Relationship Id="rId57" Type="http://schemas.openxmlformats.org/officeDocument/2006/relationships/hyperlink" Target="https://hkaudio.com/de/produkte/p10j/" TargetMode="External"/><Relationship Id="rId10" Type="http://schemas.openxmlformats.org/officeDocument/2006/relationships/hyperlink" Target="https://eu.store.bambulab.com/de/products/h2d?from=navigation&amp;id=596571526990503937" TargetMode="External"/><Relationship Id="rId31" Type="http://schemas.openxmlformats.org/officeDocument/2006/relationships/hyperlink" Target="https://www.apple.com/de/shop/product/MX2D3ZM/A/apple-pencil-pro?fnode=2f418c8d1aed5350c7c7bcec29dcc1a9995e6dfd72e1e010114488550e43e4a84769ca95cf066c48b055cd4c40a26e73cf257855156177ba7a0cd28229a03fc06822327b8a728a27cf8d07e442a3e3bf370a210ac007519b60a83e740fad95a2" TargetMode="External"/><Relationship Id="rId44" Type="http://schemas.openxmlformats.org/officeDocument/2006/relationships/hyperlink" Target="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" TargetMode="External"/><Relationship Id="rId52" Type="http://schemas.openxmlformats.org/officeDocument/2006/relationships/hyperlink" Target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" TargetMode="External"/><Relationship Id="rId60" Type="http://schemas.openxmlformats.org/officeDocument/2006/relationships/hyperlink" Target="https://www.reichelt.de/de/de/shop/produkt/ki-unterstuetzte_4k_ptz-streaming-kamera-370617?PRO_VID=2788&amp;gad_source=1&amp;gad_campaignid=183388+67917&amp;gclid=CjwKCAjwuePGBhBZEiwAIGCVSwHVH8z+zDuwbY4WHE0BV8G-FdheRSA5PzLSH9pV93wsYpRNomd+AD0xoCqGwQAvD_BwE" TargetMode="External"/><Relationship Id="rId65" Type="http://schemas.openxmlformats.org/officeDocument/2006/relationships/hyperlink" Target="https://www.thomann.de/de/ld_systems_u505_hhd2.htm" TargetMode="External"/><Relationship Id="rId73" Type="http://schemas.openxmlformats.org/officeDocument/2006/relationships/hyperlink" Target="https://www.bueromarkt-ag.de/wlan-router_avm_fritz!box_4690,p-20003082,l-94511215,pd-b2c.html?" TargetMode="External"/><Relationship Id="rId78" Type="http://schemas.openxmlformats.org/officeDocument/2006/relationships/hyperlink" Target="https://www.reichelt.de/de/de/shop/produkt/3_m_cat_6_pimf-patchkabel_gelb-63239?nbc=1" TargetMode="External"/><Relationship Id="rId81" Type="http://schemas.openxmlformats.org/officeDocument/2006/relationships/hyperlink" Target="https://www.reichelt.de/de/de/shop/produkt/kaefigmutternset_m5_50_stueck-374184?nbc=1" TargetMode="External"/><Relationship Id="rId86" Type="http://schemas.openxmlformats.org/officeDocument/2006/relationships/hyperlink" Target="https://www.profizelt24.de/faltpavillon/zubehoer/sicherung/130647.html" TargetMode="External"/><Relationship Id="rId94" Type="http://schemas.openxmlformats.org/officeDocument/2006/relationships/hyperlink" Target="https://www.mediamarkt.de/de/product/_epson-eh-ls650b-beameruhd-4k-1800-lumen-129205792.html" TargetMode="External"/><Relationship Id="rId4" Type="http://schemas.openxmlformats.org/officeDocument/2006/relationships/hyperlink" Target="https://www.apple.com/de/shop/product/MXK53Z/A/magic-mouse-usb%E2%80%91c-wei&#223;e-multi-touch-oberfl&#228;che?fnode=d2c80cfc3ca4c981ae96f4088cc087cb61c51dd962dc386db44b315d13a98efb8a5d1c6699d2bdd5459f8f8a274d4fdafcbe02a504fb4f87a0c4dc7196fdf40239038fe7659114c78adc869ddbb349a1de37cec56c4a4c22cc123f984aa3a4f1" TargetMode="External"/><Relationship Id="rId9" Type="http://schemas.openxmlformats.org/officeDocument/2006/relationships/hyperlink" Target="https://www.mediamarkt.de/de/product/_jbl-partybox-wireless-mikrofon-schwarz-2917734.html" TargetMode="External"/><Relationship Id="rId13" Type="http://schemas.openxmlformats.org/officeDocument/2006/relationships/hyperlink" Target="https://www.bueromarkt-ag.de/versandhuelse_eichner_transparent_laenge_600-1450mm,p-9703-00059.html" TargetMode="External"/><Relationship Id="rId18" Type="http://schemas.openxmlformats.org/officeDocument/2006/relationships/hyperlink" Target="https://www.otto-office.com/de/SODEMATUB-Schreibtisch-160-cm-klappbar-alufarben/72538/p?wkid=OO-4-DEoCX8aZbIVT9PpwAj" TargetMode="External"/><Relationship Id="rId39" Type="http://schemas.openxmlformats.org/officeDocument/2006/relationships/hyperlink" Target="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" TargetMode="External"/><Relationship Id="rId34" Type="http://schemas.openxmlformats.org/officeDocument/2006/relationships/hyperlink" Target="https://www.bueromarkt-ag.de/schmutzfangmatte_floordirekt_everest_sky,p-fd-564.html" TargetMode="External"/><Relationship Id="rId50" Type="http://schemas.openxmlformats.org/officeDocument/2006/relationships/hyperlink" Target="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" TargetMode="External"/><Relationship Id="rId55" Type="http://schemas.openxmlformats.org/officeDocument/2006/relationships/hyperlink" Target="https://www.otto.de/p/steelboxx-drehstuhl-buerodrehstuhl-bandscheiben-schreibtischstuhl-drehstuhl-buerostuhl-1-sitz-und-rueckenflaechen-sind-ergonomisch-geformt-S0G1S0A8/?variationId=S0G1S0A82NF2" TargetMode="External"/><Relationship Id="rId76" Type="http://schemas.openxmlformats.org/officeDocument/2006/relationships/hyperlink" Target="https://www.reichelt.de/de/de/shop/produkt/switch_8-port_gigabit_ethernet_poe-223535?nbc=1" TargetMode="External"/><Relationship Id="rId97" Type="http://schemas.openxmlformats.org/officeDocument/2006/relationships/vmlDrawing" Target="../drawings/vmlDrawing1.vml"/><Relationship Id="rId7" Type="http://schemas.openxmlformats.org/officeDocument/2006/relationships/hyperlink" Target="https://www.dyson.de/raumklima/luftreiniger-heizluefter/purifier-hot-cool-hp1/weiss" TargetMode="External"/><Relationship Id="rId71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92" Type="http://schemas.openxmlformats.org/officeDocument/2006/relationships/hyperlink" Target="https://www.bueromarkt-ag.de/beamer_acer_h6805bda_mr.jtb11.00s_4k_uhd,p-h6805bda.html" TargetMode="External"/><Relationship Id="rId2" Type="http://schemas.openxmlformats.org/officeDocument/2006/relationships/hyperlink" Target="https://www.bueromarkt-ag.de/multifunktionsgeraet_oki_mc853dnct,p-mc853dnct.html" TargetMode="External"/><Relationship Id="rId29" Type="http://schemas.openxmlformats.org/officeDocument/2006/relationships/hyperlink" Target="https://www.apple.com/de/shop/buy-mac/macbook-air/15-zoll-silber-m4-chip-mit-10-core-cpu-10-core-gpu-16-gb-arbeitsspeicher-256gb" TargetMode="External"/><Relationship Id="rId24" Type="http://schemas.openxmlformats.org/officeDocument/2006/relationships/hyperlink" Target="https://www.bueromarkt-ag.de/kaffeebecher_ritzenhoffundbreker_suomi_310ml,p-59700-1,l-google-prd,pd-b2c.html?utm_source=google&amp;utm_medium=cpc&amp;utm_campaign=19706804280&amp;gad_source=1" TargetMode="External"/><Relationship Id="rId40" Type="http://schemas.openxmlformats.org/officeDocument/2006/relationships/hyperlink" Target="https://buero-direkt24.de/drehturenschrank-pro-d4-4-oh/?gad_source=1&amp;gad_campaignid=18902378376&amp;gbraid=0AAAAADyzpHRFGy-Qy50vgpINcTrPDDdVm&amp;gclid=CjwKCAjwup3HBhAAEiwA7euZukKfztV9JSP2ayiPYnSzFlw63Q_1CJWQi10R0qmTkEjBiWDfGibI9BoCoxIQAvD_BwE" TargetMode="External"/><Relationship Id="rId45" Type="http://schemas.openxmlformats.org/officeDocument/2006/relationships/hyperlink" Target="https://www.thomann.de/de/cameo_q_spot_40_rgbw_white.htm?gad_source=1&amp;gad_campaignid=1576042969&amp;gbraid=0AAAAADuDMCU6zQMjXY41n3ysw_2MOD_ci&amp;gclid=EAIaIQobChMI0ZP8wKqokAMVq9hEBx3DOjOHEAQYAyABEgIlwvD_BwE" TargetMode="External"/><Relationship Id="rId66" Type="http://schemas.openxmlformats.org/officeDocument/2006/relationships/hyperlink" Target="https://www.thomann.de/de/the_t_racks_power_8_s.htm" TargetMode="External"/><Relationship Id="rId87" Type="http://schemas.openxmlformats.org/officeDocument/2006/relationships/hyperlink" Target="https://www.profizelt24.de/faltpavillon/59060.html?gad_source=1&amp;gad_campaignid=20929544315&amp;gclid=CjwKCAjwu9fHBhAWEiwAzGRC_w7xIv4dZJ4f5LVMuSuz8UAORM4o0q7G6ZbVIHunDn61CkhoQfHRBxoChPcQAvD_BwE" TargetMode="External"/><Relationship Id="rId61" Type="http://schemas.openxmlformats.org/officeDocument/2006/relationships/hyperlink" Target="https://www.mmobiel.com/de/mmobiel-hdmi-8k-glasfaserkabel-15m-48gbps-ultra-high-speed-8kat60hz-schwarz" TargetMode="External"/><Relationship Id="rId82" Type="http://schemas.openxmlformats.org/officeDocument/2006/relationships/hyperlink" Target="https://www.biertischgarnituren-shop.de/produkt/stehtisch-atlas/" TargetMode="External"/><Relationship Id="rId19" Type="http://schemas.openxmlformats.org/officeDocument/2006/relationships/hyperlink" Target="https://www.otto-office.com/de/Buerostuhl-mayer-Sitzmoebel-my-Wizard-mit-Armlehnen/341308/p?wkid=OO-4-DEoCX8aZbIVT9PpwAj" TargetMode="External"/><Relationship Id="rId14" Type="http://schemas.openxmlformats.org/officeDocument/2006/relationships/hyperlink" Target="https://eu.store.bambulab.com/de/products/pla-basic-refill-pack" TargetMode="External"/><Relationship Id="rId30" Type="http://schemas.openxmlformats.org/officeDocument/2006/relationships/hyperlink" Target="https://www.apple.com/de/shop/product/MWR53D/A/magic-keyboard-f%C3%BCr-13-ipad-pro-m4-deutsch-schwarz" TargetMode="External"/><Relationship Id="rId35" Type="http://schemas.openxmlformats.org/officeDocument/2006/relationships/hyperlink" Target="https://www.bueromarkt-ag.de/rollcontainer_hammerbacher_b-serie_holz_buche,p-bac30b.html" TargetMode="External"/><Relationship Id="rId56" Type="http://schemas.openxmlformats.org/officeDocument/2006/relationships/hyperlink" Target="https://www.otto.de/p/bmg-moebel-bueromoebel-set-office-edition-5-buero-set-8-tlg-tueren-abschliessbar-rollcontainer-S0F0S0NL/" TargetMode="External"/><Relationship Id="rId77" Type="http://schemas.openxmlformats.org/officeDocument/2006/relationships/hyperlink" Target="https://www.reichelt.de/de/de/shop/produkt/steckdosenleiste_10_1he_4-fach-287611?nbc=1" TargetMode="External"/><Relationship Id="rId8" Type="http://schemas.openxmlformats.org/officeDocument/2006/relationships/hyperlink" Target="https://www.bueromarkt-ag.de/konferenzkamera_logitech_bcc950_conferencecam,p-960-000867,l-google-css,pd-b2c.html?utm_source=google&amp;utm_medium=cpc&amp;utm_campaign=20144954577&amp;gad_source=1" TargetMode="External"/><Relationship Id="rId51" Type="http://schemas.openxmlformats.org/officeDocument/2006/relationships/hyperlink" Target="https://www.aktivtisch.de/preise" TargetMode="External"/><Relationship Id="rId72" Type="http://schemas.openxmlformats.org/officeDocument/2006/relationships/hyperlink" Target="https://www.jacob.de/produkte/Ubiquiti-UniFi-AP-UAP-AC-PRO-artnr-2537393.html?" TargetMode="External"/><Relationship Id="rId93" Type="http://schemas.openxmlformats.org/officeDocument/2006/relationships/hyperlink" Target="https://www.epson.de/de_DE/produkte/projector/short-distance/eb-l795se%C2%A0%E2%80%93-7-000%C2%A0lumen%2C-4ke-kurzdistanz-projektor%2C-der-sich-auf-eine-emissionsfreie-zukunft-konzentriert-%280%2C79%E2%80%931%2C36%3A1%29/p/52434?pid=52434" TargetMode="External"/><Relationship Id="rId9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DA-E50E-4A2A-8CBE-1717B1D96607}">
  <sheetPr>
    <pageSetUpPr fitToPage="1"/>
  </sheetPr>
  <dimension ref="A1:CK193"/>
  <sheetViews>
    <sheetView topLeftCell="D1" zoomScale="70" zoomScaleNormal="70" workbookViewId="0">
      <pane ySplit="1" topLeftCell="A2" activePane="bottomLeft" state="frozen"/>
      <selection activeCell="E1" sqref="E1"/>
      <selection pane="bottomLeft" activeCell="R12" sqref="R12"/>
    </sheetView>
  </sheetViews>
  <sheetFormatPr defaultColWidth="11.5546875" defaultRowHeight="14.4" outlineLevelRow="2" x14ac:dyDescent="0.3"/>
  <cols>
    <col min="1" max="1" width="11.44140625" style="15"/>
    <col min="2" max="2" width="17.5546875" customWidth="1"/>
    <col min="3" max="3" width="23" style="1" customWidth="1"/>
    <col min="4" max="4" width="33.44140625" bestFit="1" customWidth="1"/>
    <col min="5" max="5" width="33.44140625" customWidth="1"/>
    <col min="6" max="6" width="63" customWidth="1"/>
    <col min="7" max="7" width="9.77734375" style="1" bestFit="1" customWidth="1"/>
    <col min="8" max="8" width="36.44140625" customWidth="1"/>
    <col min="9" max="9" width="25.77734375" bestFit="1" customWidth="1"/>
    <col min="10" max="10" width="27.44140625" style="34" customWidth="1"/>
    <col min="11" max="11" width="17.44140625" style="39" bestFit="1" customWidth="1"/>
    <col min="12" max="12" width="18.21875" style="39" bestFit="1" customWidth="1"/>
    <col min="13" max="13" width="18.77734375" style="39" bestFit="1" customWidth="1"/>
    <col min="14" max="14" width="19.77734375" style="39" bestFit="1" customWidth="1"/>
    <col min="15" max="15" width="20.5546875" style="17" customWidth="1"/>
  </cols>
  <sheetData>
    <row r="1" spans="1:89" ht="15" customHeight="1" x14ac:dyDescent="0.3">
      <c r="A1" s="13" t="s">
        <v>16</v>
      </c>
      <c r="B1" s="4" t="s">
        <v>7</v>
      </c>
      <c r="C1" s="4" t="s">
        <v>8</v>
      </c>
      <c r="D1" s="4" t="s">
        <v>22</v>
      </c>
      <c r="E1" s="4" t="s">
        <v>333</v>
      </c>
      <c r="F1" s="4" t="s">
        <v>334</v>
      </c>
      <c r="G1" s="4" t="s">
        <v>0</v>
      </c>
      <c r="H1" s="4" t="s">
        <v>97</v>
      </c>
      <c r="I1" s="4" t="s">
        <v>4</v>
      </c>
      <c r="J1" s="23" t="s">
        <v>5</v>
      </c>
      <c r="K1" s="46" t="s">
        <v>134</v>
      </c>
      <c r="L1" s="46" t="s">
        <v>1</v>
      </c>
      <c r="M1" s="46" t="s">
        <v>2</v>
      </c>
      <c r="N1" s="46" t="s">
        <v>3</v>
      </c>
      <c r="O1" s="46" t="s">
        <v>10</v>
      </c>
      <c r="P1" s="4" t="s">
        <v>14</v>
      </c>
      <c r="Q1" s="4" t="s">
        <v>11</v>
      </c>
      <c r="R1" s="4" t="s">
        <v>12</v>
      </c>
      <c r="S1" s="4" t="s">
        <v>13</v>
      </c>
      <c r="U1" s="16"/>
      <c r="V1" s="16"/>
      <c r="W1" s="16"/>
      <c r="X1" s="16"/>
      <c r="Y1" s="16"/>
      <c r="Z1" s="16"/>
      <c r="AA1" s="16"/>
      <c r="AB1" s="17"/>
    </row>
    <row r="2" spans="1:89" ht="15" customHeight="1" x14ac:dyDescent="0.3">
      <c r="A2" s="12">
        <v>1.01</v>
      </c>
      <c r="B2" s="2" t="s">
        <v>20</v>
      </c>
      <c r="C2" s="2" t="s">
        <v>21</v>
      </c>
      <c r="D2" s="18" t="s">
        <v>357</v>
      </c>
      <c r="E2" s="18" t="s">
        <v>23</v>
      </c>
      <c r="F2" s="18"/>
      <c r="G2" s="2">
        <v>1</v>
      </c>
      <c r="H2" s="2" t="s">
        <v>50</v>
      </c>
      <c r="I2" s="2" t="s">
        <v>24</v>
      </c>
      <c r="J2" s="24" t="s">
        <v>25</v>
      </c>
      <c r="K2" s="35">
        <v>1066.3900000000001</v>
      </c>
      <c r="L2" s="35">
        <v>1269</v>
      </c>
      <c r="M2" s="12">
        <f>SUM(G2*K2)</f>
        <v>1066.3900000000001</v>
      </c>
      <c r="N2" s="12">
        <f t="shared" ref="N2:N32" si="0">SUM(G2*L2)</f>
        <v>1269</v>
      </c>
      <c r="O2" s="47"/>
      <c r="P2" s="2"/>
      <c r="Q2" s="2"/>
      <c r="R2" s="2"/>
      <c r="S2" s="2"/>
      <c r="AB2" s="17"/>
    </row>
    <row r="3" spans="1:89" ht="15" customHeight="1" x14ac:dyDescent="0.3">
      <c r="A3" s="12">
        <v>1.02</v>
      </c>
      <c r="B3" s="2" t="s">
        <v>20</v>
      </c>
      <c r="C3" s="2" t="s">
        <v>21</v>
      </c>
      <c r="D3" s="18" t="s">
        <v>357</v>
      </c>
      <c r="E3" s="18" t="s">
        <v>18</v>
      </c>
      <c r="F3" s="18" t="s">
        <v>18</v>
      </c>
      <c r="G3" s="2">
        <v>1</v>
      </c>
      <c r="H3" s="2" t="s">
        <v>26</v>
      </c>
      <c r="I3" s="2" t="s">
        <v>28</v>
      </c>
      <c r="J3" s="24" t="s">
        <v>27</v>
      </c>
      <c r="K3" s="35"/>
      <c r="L3" s="35">
        <v>1845</v>
      </c>
      <c r="M3" s="12"/>
      <c r="N3" s="12">
        <f t="shared" si="0"/>
        <v>1845</v>
      </c>
      <c r="O3" s="47"/>
      <c r="P3" s="2"/>
      <c r="Q3" s="2"/>
      <c r="R3" s="2"/>
      <c r="S3" s="2"/>
      <c r="AB3" s="17"/>
    </row>
    <row r="4" spans="1:89" ht="15" customHeight="1" x14ac:dyDescent="0.3">
      <c r="A4" s="12">
        <v>1.03</v>
      </c>
      <c r="B4" s="2" t="s">
        <v>20</v>
      </c>
      <c r="C4" s="2" t="s">
        <v>21</v>
      </c>
      <c r="D4" s="18" t="s">
        <v>357</v>
      </c>
      <c r="E4" s="18" t="s">
        <v>355</v>
      </c>
      <c r="F4" s="18" t="s">
        <v>29</v>
      </c>
      <c r="G4" s="2">
        <v>1</v>
      </c>
      <c r="H4" s="2" t="s">
        <v>30</v>
      </c>
      <c r="I4" s="2" t="s">
        <v>19</v>
      </c>
      <c r="J4" s="24" t="s">
        <v>31</v>
      </c>
      <c r="K4" s="35"/>
      <c r="L4" s="35">
        <v>859.99</v>
      </c>
      <c r="M4" s="12"/>
      <c r="N4" s="12">
        <f t="shared" si="0"/>
        <v>859.99</v>
      </c>
      <c r="O4" s="47"/>
      <c r="P4" s="2"/>
      <c r="Q4" s="2"/>
      <c r="R4" s="2"/>
      <c r="S4" s="2"/>
      <c r="AB4" s="17"/>
    </row>
    <row r="5" spans="1:89" ht="15" customHeight="1" x14ac:dyDescent="0.3">
      <c r="A5" s="12">
        <v>1.04</v>
      </c>
      <c r="B5" s="2" t="s">
        <v>20</v>
      </c>
      <c r="C5" s="2" t="s">
        <v>21</v>
      </c>
      <c r="D5" s="18" t="s">
        <v>357</v>
      </c>
      <c r="E5" s="18" t="s">
        <v>218</v>
      </c>
      <c r="F5" s="18" t="s">
        <v>32</v>
      </c>
      <c r="G5" s="2">
        <v>1</v>
      </c>
      <c r="H5" s="2" t="s">
        <v>34</v>
      </c>
      <c r="I5" s="2" t="s">
        <v>33</v>
      </c>
      <c r="J5" s="24" t="s">
        <v>35</v>
      </c>
      <c r="K5" s="35">
        <v>1489.99</v>
      </c>
      <c r="L5" s="35">
        <v>1773.09</v>
      </c>
      <c r="M5" s="12">
        <f>SUM(G5*K5)</f>
        <v>1489.99</v>
      </c>
      <c r="N5" s="12">
        <f t="shared" si="0"/>
        <v>1773.09</v>
      </c>
      <c r="O5" s="47"/>
      <c r="P5" s="2"/>
      <c r="Q5" s="2"/>
      <c r="R5" s="2"/>
      <c r="S5" s="2"/>
      <c r="AB5" s="17"/>
    </row>
    <row r="6" spans="1:89" ht="15" customHeight="1" x14ac:dyDescent="0.3">
      <c r="A6" s="12">
        <v>1.05</v>
      </c>
      <c r="B6" s="2" t="s">
        <v>20</v>
      </c>
      <c r="C6" s="2" t="s">
        <v>21</v>
      </c>
      <c r="D6" s="21" t="s">
        <v>357</v>
      </c>
      <c r="E6" s="21" t="s">
        <v>36</v>
      </c>
      <c r="F6" s="21"/>
      <c r="G6" s="2">
        <v>1</v>
      </c>
      <c r="H6" s="2" t="s">
        <v>37</v>
      </c>
      <c r="I6" s="2" t="s">
        <v>38</v>
      </c>
      <c r="J6" s="24" t="s">
        <v>39</v>
      </c>
      <c r="K6" s="35"/>
      <c r="L6" s="35">
        <v>2799</v>
      </c>
      <c r="M6" s="12"/>
      <c r="N6" s="12">
        <f t="shared" si="0"/>
        <v>2799</v>
      </c>
      <c r="O6" s="47"/>
      <c r="P6" s="2"/>
      <c r="Q6" s="2"/>
      <c r="R6" s="2"/>
      <c r="S6" s="2"/>
    </row>
    <row r="7" spans="1:89" ht="15" customHeight="1" x14ac:dyDescent="0.3">
      <c r="A7" s="12">
        <v>1.06</v>
      </c>
      <c r="B7" s="2" t="s">
        <v>20</v>
      </c>
      <c r="C7" s="2" t="s">
        <v>21</v>
      </c>
      <c r="D7" s="21" t="s">
        <v>40</v>
      </c>
      <c r="E7" s="21" t="s">
        <v>41</v>
      </c>
      <c r="F7" s="21"/>
      <c r="G7" s="2">
        <v>1</v>
      </c>
      <c r="H7" s="2" t="s">
        <v>45</v>
      </c>
      <c r="I7" s="2" t="s">
        <v>42</v>
      </c>
      <c r="J7" s="24" t="s">
        <v>43</v>
      </c>
      <c r="K7" s="35">
        <v>299.99</v>
      </c>
      <c r="L7" s="35">
        <v>356.99</v>
      </c>
      <c r="M7" s="12">
        <f>SUM(G7*K7)</f>
        <v>299.99</v>
      </c>
      <c r="N7" s="12">
        <f t="shared" si="0"/>
        <v>356.99</v>
      </c>
      <c r="O7" s="47"/>
      <c r="P7" s="2"/>
      <c r="Q7" s="2"/>
      <c r="R7" s="2"/>
      <c r="S7" s="2"/>
    </row>
    <row r="8" spans="1:89" ht="15" customHeight="1" x14ac:dyDescent="0.3">
      <c r="A8" s="12">
        <v>1.07</v>
      </c>
      <c r="B8" s="2" t="s">
        <v>20</v>
      </c>
      <c r="C8" s="2" t="s">
        <v>21</v>
      </c>
      <c r="D8" s="21" t="s">
        <v>40</v>
      </c>
      <c r="E8" s="21" t="s">
        <v>17</v>
      </c>
      <c r="F8" s="21"/>
      <c r="G8" s="2">
        <v>1</v>
      </c>
      <c r="H8" s="2" t="s">
        <v>46</v>
      </c>
      <c r="I8" s="2" t="s">
        <v>19</v>
      </c>
      <c r="J8" s="24" t="s">
        <v>150</v>
      </c>
      <c r="K8" s="35"/>
      <c r="L8" s="35">
        <v>99.9</v>
      </c>
      <c r="M8" s="12"/>
      <c r="N8" s="12">
        <f t="shared" si="0"/>
        <v>99.9</v>
      </c>
      <c r="O8" s="47"/>
      <c r="P8" s="2"/>
      <c r="Q8" s="2"/>
      <c r="R8" s="2"/>
      <c r="S8" s="2"/>
    </row>
    <row r="9" spans="1:89" ht="15" customHeight="1" x14ac:dyDescent="0.3">
      <c r="A9" s="12">
        <v>1.08</v>
      </c>
      <c r="B9" s="2" t="s">
        <v>20</v>
      </c>
      <c r="C9" s="2" t="s">
        <v>21</v>
      </c>
      <c r="D9" s="21" t="s">
        <v>357</v>
      </c>
      <c r="E9" s="21" t="s">
        <v>157</v>
      </c>
      <c r="F9" s="21" t="s">
        <v>44</v>
      </c>
      <c r="G9" s="2">
        <v>1</v>
      </c>
      <c r="H9" s="2" t="s">
        <v>49</v>
      </c>
      <c r="I9" s="2" t="s">
        <v>48</v>
      </c>
      <c r="J9" s="24" t="s">
        <v>47</v>
      </c>
      <c r="K9" s="35"/>
      <c r="L9" s="35">
        <v>409</v>
      </c>
      <c r="M9" s="12"/>
      <c r="N9" s="12">
        <f t="shared" si="0"/>
        <v>409</v>
      </c>
      <c r="O9" s="47"/>
      <c r="P9" s="2"/>
      <c r="Q9" s="2"/>
      <c r="R9" s="2"/>
      <c r="S9" s="2"/>
    </row>
    <row r="10" spans="1:89" ht="15" customHeight="1" x14ac:dyDescent="0.3">
      <c r="A10" s="12">
        <v>1.0900000000000001</v>
      </c>
      <c r="B10" s="2" t="s">
        <v>20</v>
      </c>
      <c r="C10" s="2" t="s">
        <v>21</v>
      </c>
      <c r="D10" s="2" t="s">
        <v>357</v>
      </c>
      <c r="E10" s="2" t="s">
        <v>6</v>
      </c>
      <c r="F10" s="2" t="s">
        <v>343</v>
      </c>
      <c r="G10" s="2">
        <v>1</v>
      </c>
      <c r="H10" s="2" t="s">
        <v>9</v>
      </c>
      <c r="I10" s="2" t="s">
        <v>9</v>
      </c>
      <c r="J10" s="24" t="s">
        <v>51</v>
      </c>
      <c r="K10" s="35"/>
      <c r="L10" s="35">
        <v>1799</v>
      </c>
      <c r="M10" s="12"/>
      <c r="N10" s="12">
        <f t="shared" si="0"/>
        <v>1799</v>
      </c>
      <c r="O10" s="47"/>
      <c r="P10" s="2"/>
      <c r="Q10" s="2"/>
      <c r="R10" s="2"/>
      <c r="S10" s="2"/>
    </row>
    <row r="11" spans="1:89" ht="15" customHeight="1" x14ac:dyDescent="0.3">
      <c r="A11" s="12">
        <v>1.1000000000000001</v>
      </c>
      <c r="B11" s="2" t="s">
        <v>20</v>
      </c>
      <c r="C11" s="2" t="s">
        <v>21</v>
      </c>
      <c r="D11" s="2" t="s">
        <v>357</v>
      </c>
      <c r="E11" s="2" t="s">
        <v>348</v>
      </c>
      <c r="F11" s="2" t="s">
        <v>52</v>
      </c>
      <c r="G11" s="2">
        <v>1</v>
      </c>
      <c r="H11" s="2" t="s">
        <v>9</v>
      </c>
      <c r="I11" s="2" t="s">
        <v>9</v>
      </c>
      <c r="J11" s="24" t="s">
        <v>53</v>
      </c>
      <c r="K11" s="35"/>
      <c r="L11" s="35">
        <v>149</v>
      </c>
      <c r="M11" s="12"/>
      <c r="N11" s="12">
        <f t="shared" si="0"/>
        <v>149</v>
      </c>
      <c r="O11" s="47"/>
      <c r="P11" s="2"/>
      <c r="Q11" s="2"/>
      <c r="R11" s="2"/>
      <c r="S11" s="2"/>
    </row>
    <row r="12" spans="1:89" ht="15" customHeight="1" x14ac:dyDescent="0.3">
      <c r="A12" s="12">
        <v>1.1100000000000001</v>
      </c>
      <c r="B12" s="2" t="s">
        <v>20</v>
      </c>
      <c r="C12" s="2" t="s">
        <v>21</v>
      </c>
      <c r="D12" s="2" t="s">
        <v>357</v>
      </c>
      <c r="E12" s="2" t="s">
        <v>347</v>
      </c>
      <c r="F12" s="2" t="s">
        <v>55</v>
      </c>
      <c r="G12" s="2">
        <v>1</v>
      </c>
      <c r="H12" s="2" t="s">
        <v>9</v>
      </c>
      <c r="I12" s="2" t="s">
        <v>9</v>
      </c>
      <c r="J12" s="24" t="s">
        <v>54</v>
      </c>
      <c r="K12" s="35"/>
      <c r="L12" s="35">
        <v>399</v>
      </c>
      <c r="M12" s="12"/>
      <c r="N12" s="12">
        <f t="shared" si="0"/>
        <v>399</v>
      </c>
      <c r="O12" s="47"/>
      <c r="P12" s="2"/>
      <c r="Q12" s="2"/>
      <c r="R12" s="2"/>
      <c r="S12" s="2"/>
    </row>
    <row r="13" spans="1:89" ht="15" customHeight="1" x14ac:dyDescent="0.3">
      <c r="A13" s="12">
        <v>1.1200000000000001</v>
      </c>
      <c r="B13" s="2" t="s">
        <v>20</v>
      </c>
      <c r="C13" s="2" t="s">
        <v>21</v>
      </c>
      <c r="D13" s="2" t="s">
        <v>357</v>
      </c>
      <c r="E13" s="2" t="s">
        <v>154</v>
      </c>
      <c r="F13" s="2" t="s">
        <v>266</v>
      </c>
      <c r="G13" s="2">
        <v>1</v>
      </c>
      <c r="H13" s="2" t="s">
        <v>9</v>
      </c>
      <c r="I13" s="2" t="s">
        <v>9</v>
      </c>
      <c r="J13" s="24" t="s">
        <v>56</v>
      </c>
      <c r="K13" s="35"/>
      <c r="L13" s="35">
        <v>1499</v>
      </c>
      <c r="M13" s="12"/>
      <c r="N13" s="12">
        <f t="shared" si="0"/>
        <v>1499</v>
      </c>
      <c r="O13" s="47"/>
      <c r="P13" s="2"/>
      <c r="Q13" s="2"/>
      <c r="R13" s="2"/>
      <c r="S13" s="2"/>
    </row>
    <row r="14" spans="1:89" ht="15" customHeight="1" x14ac:dyDescent="0.3">
      <c r="A14" s="12">
        <v>1.1299999999999999</v>
      </c>
      <c r="B14" s="2" t="s">
        <v>20</v>
      </c>
      <c r="C14" s="2" t="s">
        <v>21</v>
      </c>
      <c r="D14" s="2" t="s">
        <v>357</v>
      </c>
      <c r="E14" s="2" t="s">
        <v>349</v>
      </c>
      <c r="F14" s="2" t="s">
        <v>58</v>
      </c>
      <c r="G14" s="2">
        <v>1</v>
      </c>
      <c r="H14" s="2" t="s">
        <v>9</v>
      </c>
      <c r="I14" s="2" t="s">
        <v>9</v>
      </c>
      <c r="J14" s="24" t="s">
        <v>57</v>
      </c>
      <c r="K14" s="35"/>
      <c r="L14" s="35">
        <v>85</v>
      </c>
      <c r="M14" s="12"/>
      <c r="N14" s="12">
        <f t="shared" si="0"/>
        <v>85</v>
      </c>
      <c r="O14" s="47"/>
      <c r="P14" s="2"/>
      <c r="Q14" s="2"/>
      <c r="R14" s="2"/>
      <c r="S14" s="2"/>
    </row>
    <row r="15" spans="1:89" ht="15" customHeight="1" x14ac:dyDescent="0.3">
      <c r="A15" s="12">
        <v>1.1399999999999999</v>
      </c>
      <c r="B15" s="2" t="s">
        <v>20</v>
      </c>
      <c r="C15" s="2" t="s">
        <v>21</v>
      </c>
      <c r="D15" s="2" t="s">
        <v>357</v>
      </c>
      <c r="E15" s="2" t="s">
        <v>336</v>
      </c>
      <c r="F15" s="2" t="s">
        <v>60</v>
      </c>
      <c r="G15" s="2">
        <v>2</v>
      </c>
      <c r="H15" s="2" t="s">
        <v>9</v>
      </c>
      <c r="I15" s="2" t="s">
        <v>9</v>
      </c>
      <c r="J15" s="24" t="s">
        <v>59</v>
      </c>
      <c r="K15" s="35"/>
      <c r="L15" s="35">
        <v>2029</v>
      </c>
      <c r="M15" s="12"/>
      <c r="N15" s="12">
        <f t="shared" si="0"/>
        <v>4058</v>
      </c>
      <c r="O15" s="47"/>
      <c r="P15" s="2"/>
      <c r="Q15" s="2"/>
      <c r="R15" s="2"/>
      <c r="S15" s="2"/>
    </row>
    <row r="16" spans="1:89" s="10" customFormat="1" ht="15" customHeight="1" x14ac:dyDescent="0.3">
      <c r="A16" s="12">
        <v>1.1499999999999999</v>
      </c>
      <c r="B16" s="9" t="s">
        <v>20</v>
      </c>
      <c r="C16" s="9" t="s">
        <v>21</v>
      </c>
      <c r="D16" s="9" t="s">
        <v>74</v>
      </c>
      <c r="E16" s="9" t="s">
        <v>15</v>
      </c>
      <c r="F16" s="9" t="s">
        <v>79</v>
      </c>
      <c r="G16" s="9">
        <v>1</v>
      </c>
      <c r="H16" s="9" t="s">
        <v>61</v>
      </c>
      <c r="I16" s="9" t="s">
        <v>62</v>
      </c>
      <c r="J16" s="25" t="s">
        <v>63</v>
      </c>
      <c r="K16" s="14">
        <v>168.06</v>
      </c>
      <c r="L16" s="14">
        <v>204.99</v>
      </c>
      <c r="M16" s="14">
        <f>SUM(G16*K16)</f>
        <v>168.06</v>
      </c>
      <c r="N16" s="14">
        <f t="shared" si="0"/>
        <v>204.99</v>
      </c>
      <c r="O16" s="48" t="s">
        <v>362</v>
      </c>
      <c r="P16" s="9"/>
      <c r="Q16" s="9"/>
      <c r="R16" s="9"/>
      <c r="S16" s="9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ht="15" customHeight="1" x14ac:dyDescent="0.3">
      <c r="A17" s="12">
        <v>1.1599999999999999</v>
      </c>
      <c r="B17" s="2" t="s">
        <v>20</v>
      </c>
      <c r="C17" s="2" t="s">
        <v>21</v>
      </c>
      <c r="D17" s="21" t="s">
        <v>40</v>
      </c>
      <c r="E17" s="21" t="s">
        <v>64</v>
      </c>
      <c r="F17" s="21"/>
      <c r="G17" s="2">
        <v>1</v>
      </c>
      <c r="H17" s="2" t="s">
        <v>65</v>
      </c>
      <c r="I17" s="2" t="s">
        <v>65</v>
      </c>
      <c r="J17" s="24" t="s">
        <v>66</v>
      </c>
      <c r="K17" s="35"/>
      <c r="L17" s="35">
        <v>499</v>
      </c>
      <c r="M17" s="12"/>
      <c r="N17" s="12">
        <f t="shared" si="0"/>
        <v>499</v>
      </c>
      <c r="O17" s="47"/>
      <c r="P17" s="2"/>
      <c r="Q17" s="2"/>
      <c r="R17" s="2"/>
      <c r="S17" s="2"/>
    </row>
    <row r="18" spans="1:89" ht="15" customHeight="1" x14ac:dyDescent="0.3">
      <c r="A18" s="12">
        <v>1.17</v>
      </c>
      <c r="B18" s="2" t="s">
        <v>20</v>
      </c>
      <c r="C18" s="2" t="s">
        <v>21</v>
      </c>
      <c r="D18" s="21" t="s">
        <v>357</v>
      </c>
      <c r="E18" s="21" t="s">
        <v>345</v>
      </c>
      <c r="F18" s="21" t="s">
        <v>67</v>
      </c>
      <c r="G18" s="2">
        <v>1</v>
      </c>
      <c r="H18" s="2" t="s">
        <v>68</v>
      </c>
      <c r="I18" s="2" t="s">
        <v>33</v>
      </c>
      <c r="J18" s="24" t="s">
        <v>69</v>
      </c>
      <c r="K18" s="35">
        <v>89.83</v>
      </c>
      <c r="L18" s="35">
        <v>106.9</v>
      </c>
      <c r="M18" s="12">
        <f>SUM(G18*K18)</f>
        <v>89.83</v>
      </c>
      <c r="N18" s="12">
        <f t="shared" si="0"/>
        <v>106.9</v>
      </c>
      <c r="O18" s="47"/>
      <c r="P18" s="2"/>
      <c r="Q18" s="2"/>
      <c r="R18" s="2"/>
      <c r="S18" s="2"/>
    </row>
    <row r="19" spans="1:89" ht="15" customHeight="1" x14ac:dyDescent="0.3">
      <c r="A19" s="12">
        <v>1.18</v>
      </c>
      <c r="B19" s="2" t="s">
        <v>20</v>
      </c>
      <c r="C19" s="2" t="s">
        <v>21</v>
      </c>
      <c r="D19" s="21" t="s">
        <v>357</v>
      </c>
      <c r="E19" s="21" t="s">
        <v>335</v>
      </c>
      <c r="F19" s="21" t="s">
        <v>337</v>
      </c>
      <c r="G19" s="2">
        <v>1</v>
      </c>
      <c r="H19" s="2" t="s">
        <v>70</v>
      </c>
      <c r="I19" s="2" t="s">
        <v>28</v>
      </c>
      <c r="J19" s="24" t="s">
        <v>71</v>
      </c>
      <c r="K19" s="35"/>
      <c r="L19" s="35">
        <v>569.99</v>
      </c>
      <c r="M19" s="12"/>
      <c r="N19" s="12">
        <f t="shared" si="0"/>
        <v>569.99</v>
      </c>
      <c r="O19" s="47"/>
      <c r="P19" s="2"/>
      <c r="Q19" s="2"/>
      <c r="R19" s="2"/>
      <c r="S19" s="2"/>
    </row>
    <row r="20" spans="1:89" ht="15" customHeight="1" x14ac:dyDescent="0.3">
      <c r="A20" s="12">
        <v>1.19</v>
      </c>
      <c r="B20" s="2" t="s">
        <v>20</v>
      </c>
      <c r="C20" s="2" t="s">
        <v>21</v>
      </c>
      <c r="D20" s="21" t="s">
        <v>357</v>
      </c>
      <c r="E20" s="21" t="s">
        <v>73</v>
      </c>
      <c r="F20" s="21"/>
      <c r="G20" s="2">
        <v>1</v>
      </c>
      <c r="H20" s="2" t="s">
        <v>70</v>
      </c>
      <c r="I20" s="2" t="s">
        <v>28</v>
      </c>
      <c r="J20" s="24" t="s">
        <v>72</v>
      </c>
      <c r="K20" s="35"/>
      <c r="L20" s="35">
        <v>99.99</v>
      </c>
      <c r="M20" s="12"/>
      <c r="N20" s="12">
        <f t="shared" si="0"/>
        <v>99.99</v>
      </c>
      <c r="O20" s="47"/>
      <c r="P20" s="2"/>
      <c r="Q20" s="2"/>
      <c r="R20" s="2"/>
      <c r="S20" s="2"/>
    </row>
    <row r="21" spans="1:89" s="10" customFormat="1" ht="15" customHeight="1" x14ac:dyDescent="0.3">
      <c r="A21" s="12">
        <v>1.2</v>
      </c>
      <c r="B21" s="9" t="s">
        <v>20</v>
      </c>
      <c r="C21" s="9" t="s">
        <v>21</v>
      </c>
      <c r="D21" s="9" t="s">
        <v>74</v>
      </c>
      <c r="E21" s="9"/>
      <c r="F21" s="9" t="s">
        <v>78</v>
      </c>
      <c r="G21" s="9">
        <v>1</v>
      </c>
      <c r="H21" s="9" t="s">
        <v>76</v>
      </c>
      <c r="I21" s="9" t="s">
        <v>75</v>
      </c>
      <c r="J21" s="25" t="s">
        <v>77</v>
      </c>
      <c r="K21" s="14">
        <v>158.96</v>
      </c>
      <c r="L21" s="14">
        <v>189.16</v>
      </c>
      <c r="M21" s="14">
        <f>SUM(G21*K21)</f>
        <v>158.96</v>
      </c>
      <c r="N21" s="14">
        <f t="shared" si="0"/>
        <v>189.16</v>
      </c>
      <c r="O21" s="48" t="s">
        <v>362</v>
      </c>
      <c r="P21" s="9"/>
      <c r="Q21" s="9"/>
      <c r="R21" s="9"/>
      <c r="S21" s="9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s="10" customFormat="1" ht="15" customHeight="1" x14ac:dyDescent="0.3">
      <c r="A22" s="12">
        <v>1.21</v>
      </c>
      <c r="B22" s="9" t="s">
        <v>20</v>
      </c>
      <c r="C22" s="9" t="s">
        <v>21</v>
      </c>
      <c r="D22" s="9" t="s">
        <v>106</v>
      </c>
      <c r="E22" s="9"/>
      <c r="F22" s="9" t="s">
        <v>81</v>
      </c>
      <c r="G22" s="9">
        <v>1</v>
      </c>
      <c r="H22" s="9" t="s">
        <v>83</v>
      </c>
      <c r="I22" s="9" t="s">
        <v>135</v>
      </c>
      <c r="J22" s="25" t="s">
        <v>82</v>
      </c>
      <c r="K22" s="14">
        <v>62.99</v>
      </c>
      <c r="L22" s="14">
        <v>80.900000000000006</v>
      </c>
      <c r="M22" s="14">
        <f t="shared" ref="M22:M30" si="1">SUM(G22*K22)</f>
        <v>62.99</v>
      </c>
      <c r="N22" s="14">
        <f t="shared" si="0"/>
        <v>80.900000000000006</v>
      </c>
      <c r="O22" s="48" t="s">
        <v>362</v>
      </c>
      <c r="P22" s="9"/>
      <c r="Q22" s="9"/>
      <c r="R22" s="9"/>
      <c r="S22" s="9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s="10" customFormat="1" ht="15" customHeight="1" x14ac:dyDescent="0.3">
      <c r="A23" s="12">
        <v>1.22</v>
      </c>
      <c r="B23" s="9" t="s">
        <v>20</v>
      </c>
      <c r="C23" s="9" t="s">
        <v>21</v>
      </c>
      <c r="D23" s="9" t="s">
        <v>106</v>
      </c>
      <c r="E23" s="9"/>
      <c r="F23" s="9" t="s">
        <v>84</v>
      </c>
      <c r="G23" s="9">
        <v>1</v>
      </c>
      <c r="H23" s="9" t="s">
        <v>85</v>
      </c>
      <c r="I23" s="9" t="s">
        <v>33</v>
      </c>
      <c r="J23" s="25" t="s">
        <v>86</v>
      </c>
      <c r="K23" s="14">
        <v>192.09</v>
      </c>
      <c r="L23" s="14">
        <v>228.59</v>
      </c>
      <c r="M23" s="14">
        <f t="shared" si="1"/>
        <v>192.09</v>
      </c>
      <c r="N23" s="14">
        <f t="shared" si="0"/>
        <v>228.59</v>
      </c>
      <c r="O23" s="48" t="s">
        <v>362</v>
      </c>
      <c r="P23" s="9"/>
      <c r="Q23" s="9"/>
      <c r="R23" s="9"/>
      <c r="S23" s="9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s="10" customFormat="1" ht="15" customHeight="1" x14ac:dyDescent="0.3">
      <c r="A24" s="12">
        <v>1.23</v>
      </c>
      <c r="B24" s="9" t="s">
        <v>20</v>
      </c>
      <c r="C24" s="9" t="s">
        <v>21</v>
      </c>
      <c r="D24" s="9" t="s">
        <v>88</v>
      </c>
      <c r="E24" s="9"/>
      <c r="F24" s="9" t="s">
        <v>87</v>
      </c>
      <c r="G24" s="9">
        <v>4</v>
      </c>
      <c r="H24" s="9" t="s">
        <v>144</v>
      </c>
      <c r="I24" s="9" t="s">
        <v>33</v>
      </c>
      <c r="J24" s="25" t="s">
        <v>109</v>
      </c>
      <c r="K24" s="14">
        <v>20.38</v>
      </c>
      <c r="L24" s="14">
        <v>24.25</v>
      </c>
      <c r="M24" s="14">
        <f t="shared" si="1"/>
        <v>81.52</v>
      </c>
      <c r="N24" s="14">
        <f t="shared" si="0"/>
        <v>97</v>
      </c>
      <c r="O24" s="48" t="s">
        <v>362</v>
      </c>
      <c r="P24" s="9"/>
      <c r="Q24" s="9"/>
      <c r="R24" s="9"/>
      <c r="S24" s="9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s="10" customFormat="1" ht="15" customHeight="1" x14ac:dyDescent="0.3">
      <c r="A25" s="12">
        <v>1.24</v>
      </c>
      <c r="B25" s="9" t="s">
        <v>20</v>
      </c>
      <c r="C25" s="9" t="s">
        <v>21</v>
      </c>
      <c r="D25" s="9" t="s">
        <v>88</v>
      </c>
      <c r="E25" s="9"/>
      <c r="F25" s="9" t="s">
        <v>89</v>
      </c>
      <c r="G25" s="9">
        <v>2</v>
      </c>
      <c r="H25" s="9" t="s">
        <v>145</v>
      </c>
      <c r="I25" s="9" t="s">
        <v>33</v>
      </c>
      <c r="J25" s="25" t="s">
        <v>110</v>
      </c>
      <c r="K25" s="14">
        <v>28.99</v>
      </c>
      <c r="L25" s="14">
        <v>34.5</v>
      </c>
      <c r="M25" s="14">
        <f t="shared" si="1"/>
        <v>57.98</v>
      </c>
      <c r="N25" s="14">
        <f t="shared" si="0"/>
        <v>69</v>
      </c>
      <c r="O25" s="48" t="s">
        <v>362</v>
      </c>
      <c r="P25" s="9"/>
      <c r="Q25" s="9"/>
      <c r="R25" s="9"/>
      <c r="S25" s="9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s="10" customFormat="1" ht="15" customHeight="1" x14ac:dyDescent="0.3">
      <c r="A26" s="12">
        <v>1.25</v>
      </c>
      <c r="B26" s="9" t="s">
        <v>20</v>
      </c>
      <c r="C26" s="9" t="s">
        <v>21</v>
      </c>
      <c r="D26" s="9" t="s">
        <v>88</v>
      </c>
      <c r="E26" s="9"/>
      <c r="F26" s="9" t="s">
        <v>90</v>
      </c>
      <c r="G26" s="9">
        <v>4</v>
      </c>
      <c r="H26" s="9" t="s">
        <v>144</v>
      </c>
      <c r="I26" s="9" t="s">
        <v>33</v>
      </c>
      <c r="J26" s="25" t="s">
        <v>111</v>
      </c>
      <c r="K26" s="14">
        <v>12.99</v>
      </c>
      <c r="L26" s="14">
        <f>15.46</f>
        <v>15.46</v>
      </c>
      <c r="M26" s="14">
        <f t="shared" si="1"/>
        <v>51.96</v>
      </c>
      <c r="N26" s="14">
        <f t="shared" si="0"/>
        <v>61.84</v>
      </c>
      <c r="O26" s="48" t="s">
        <v>362</v>
      </c>
      <c r="P26" s="9"/>
      <c r="Q26" s="9"/>
      <c r="R26" s="9"/>
      <c r="S26" s="9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s="10" customFormat="1" ht="15" customHeight="1" x14ac:dyDescent="0.3">
      <c r="A27" s="12">
        <v>1.26</v>
      </c>
      <c r="B27" s="9" t="s">
        <v>20</v>
      </c>
      <c r="C27" s="9" t="s">
        <v>21</v>
      </c>
      <c r="D27" s="9" t="s">
        <v>106</v>
      </c>
      <c r="E27" s="9"/>
      <c r="F27" s="9" t="s">
        <v>91</v>
      </c>
      <c r="G27" s="9">
        <v>10</v>
      </c>
      <c r="H27" s="9" t="s">
        <v>143</v>
      </c>
      <c r="I27" s="9" t="s">
        <v>33</v>
      </c>
      <c r="J27" s="25" t="s">
        <v>112</v>
      </c>
      <c r="K27" s="14">
        <v>14.49</v>
      </c>
      <c r="L27" s="14">
        <f>17.24</f>
        <v>17.239999999999998</v>
      </c>
      <c r="M27" s="14">
        <f t="shared" si="1"/>
        <v>144.9</v>
      </c>
      <c r="N27" s="14">
        <f t="shared" si="0"/>
        <v>172.39999999999998</v>
      </c>
      <c r="O27" s="48" t="s">
        <v>362</v>
      </c>
      <c r="P27" s="9"/>
      <c r="Q27" s="9"/>
      <c r="R27" s="9"/>
      <c r="S27" s="9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10" customFormat="1" ht="15" customHeight="1" x14ac:dyDescent="0.3">
      <c r="A28" s="12">
        <v>1.27</v>
      </c>
      <c r="B28" s="9" t="s">
        <v>20</v>
      </c>
      <c r="C28" s="9" t="s">
        <v>21</v>
      </c>
      <c r="D28" s="9" t="s">
        <v>106</v>
      </c>
      <c r="E28" s="9"/>
      <c r="F28" s="9" t="s">
        <v>92</v>
      </c>
      <c r="G28" s="9">
        <v>20</v>
      </c>
      <c r="H28" s="9" t="s">
        <v>142</v>
      </c>
      <c r="I28" s="9" t="s">
        <v>33</v>
      </c>
      <c r="J28" s="25" t="s">
        <v>113</v>
      </c>
      <c r="K28" s="14">
        <v>5.99</v>
      </c>
      <c r="L28" s="14">
        <f>7.13</f>
        <v>7.13</v>
      </c>
      <c r="M28" s="14">
        <f t="shared" si="1"/>
        <v>119.80000000000001</v>
      </c>
      <c r="N28" s="14">
        <f t="shared" si="0"/>
        <v>142.6</v>
      </c>
      <c r="O28" s="48" t="s">
        <v>362</v>
      </c>
      <c r="P28" s="9"/>
      <c r="Q28" s="9"/>
      <c r="R28" s="9"/>
      <c r="S28" s="9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10" customFormat="1" ht="15" customHeight="1" x14ac:dyDescent="0.3">
      <c r="A29" s="12">
        <v>1.28</v>
      </c>
      <c r="B29" s="9" t="s">
        <v>20</v>
      </c>
      <c r="C29" s="9" t="s">
        <v>21</v>
      </c>
      <c r="D29" s="9" t="s">
        <v>106</v>
      </c>
      <c r="E29" s="9"/>
      <c r="F29" s="9" t="s">
        <v>93</v>
      </c>
      <c r="G29" s="9">
        <v>2</v>
      </c>
      <c r="H29" s="9" t="s">
        <v>141</v>
      </c>
      <c r="I29" s="9" t="s">
        <v>33</v>
      </c>
      <c r="J29" s="25" t="s">
        <v>114</v>
      </c>
      <c r="K29" s="14">
        <v>29.99</v>
      </c>
      <c r="L29" s="14">
        <v>36.880000000000003</v>
      </c>
      <c r="M29" s="14">
        <f t="shared" si="1"/>
        <v>59.98</v>
      </c>
      <c r="N29" s="14">
        <f t="shared" si="0"/>
        <v>73.760000000000005</v>
      </c>
      <c r="O29" s="48" t="s">
        <v>362</v>
      </c>
      <c r="P29" s="9"/>
      <c r="Q29" s="9"/>
      <c r="R29" s="9"/>
      <c r="S29" s="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10" customFormat="1" ht="15" customHeight="1" x14ac:dyDescent="0.3">
      <c r="A30" s="12">
        <v>1.29</v>
      </c>
      <c r="B30" s="9" t="s">
        <v>20</v>
      </c>
      <c r="C30" s="9" t="s">
        <v>21</v>
      </c>
      <c r="D30" s="9" t="s">
        <v>106</v>
      </c>
      <c r="E30" s="9"/>
      <c r="F30" s="9" t="s">
        <v>94</v>
      </c>
      <c r="G30" s="9">
        <v>2</v>
      </c>
      <c r="H30" s="9" t="s">
        <v>140</v>
      </c>
      <c r="I30" s="9" t="s">
        <v>33</v>
      </c>
      <c r="J30" s="25" t="s">
        <v>115</v>
      </c>
      <c r="K30" s="14">
        <v>21.99</v>
      </c>
      <c r="L30" s="14">
        <f>26.17</f>
        <v>26.17</v>
      </c>
      <c r="M30" s="14">
        <f t="shared" si="1"/>
        <v>43.98</v>
      </c>
      <c r="N30" s="14">
        <f t="shared" si="0"/>
        <v>52.34</v>
      </c>
      <c r="O30" s="48" t="s">
        <v>362</v>
      </c>
      <c r="P30" s="9"/>
      <c r="Q30" s="9"/>
      <c r="R30" s="9"/>
      <c r="S30" s="9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ht="15" customHeight="1" x14ac:dyDescent="0.3">
      <c r="A31" s="12">
        <v>1.3</v>
      </c>
      <c r="B31" s="2" t="s">
        <v>20</v>
      </c>
      <c r="C31" s="2" t="s">
        <v>21</v>
      </c>
      <c r="D31" s="21" t="s">
        <v>80</v>
      </c>
      <c r="E31" s="21"/>
      <c r="F31" s="21" t="s">
        <v>107</v>
      </c>
      <c r="G31" s="2">
        <v>1</v>
      </c>
      <c r="H31" s="2" t="s">
        <v>139</v>
      </c>
      <c r="I31" s="2" t="s">
        <v>38</v>
      </c>
      <c r="J31" s="24" t="s">
        <v>116</v>
      </c>
      <c r="K31" s="12"/>
      <c r="L31" s="35">
        <v>63.99</v>
      </c>
      <c r="M31" s="12"/>
      <c r="N31" s="12">
        <f t="shared" si="0"/>
        <v>63.99</v>
      </c>
      <c r="O31" s="47"/>
      <c r="P31" s="2"/>
      <c r="Q31" s="2"/>
      <c r="R31" s="2"/>
      <c r="S31" s="2"/>
    </row>
    <row r="32" spans="1:89" ht="15" customHeight="1" x14ac:dyDescent="0.3">
      <c r="A32" s="12">
        <v>1.31</v>
      </c>
      <c r="B32" s="2" t="s">
        <v>20</v>
      </c>
      <c r="C32" s="2" t="s">
        <v>21</v>
      </c>
      <c r="D32" s="21" t="s">
        <v>80</v>
      </c>
      <c r="E32" s="21"/>
      <c r="F32" s="21" t="s">
        <v>108</v>
      </c>
      <c r="G32" s="2">
        <v>1</v>
      </c>
      <c r="H32" s="2" t="s">
        <v>138</v>
      </c>
      <c r="I32" s="2" t="s">
        <v>38</v>
      </c>
      <c r="J32" s="24" t="s">
        <v>117</v>
      </c>
      <c r="K32" s="12"/>
      <c r="L32" s="40">
        <v>109.9</v>
      </c>
      <c r="M32" s="12"/>
      <c r="N32" s="12">
        <f t="shared" si="0"/>
        <v>109.9</v>
      </c>
      <c r="O32" s="47"/>
      <c r="P32" s="2"/>
      <c r="Q32" s="2"/>
      <c r="R32" s="2"/>
      <c r="S32" s="2"/>
    </row>
    <row r="33" spans="1:89" s="10" customFormat="1" ht="15" customHeight="1" x14ac:dyDescent="0.3">
      <c r="A33" s="12">
        <v>1.32</v>
      </c>
      <c r="B33" s="9" t="s">
        <v>20</v>
      </c>
      <c r="C33" s="9" t="s">
        <v>21</v>
      </c>
      <c r="D33" s="9" t="s">
        <v>80</v>
      </c>
      <c r="E33" s="9"/>
      <c r="F33" s="9" t="s">
        <v>95</v>
      </c>
      <c r="G33" s="9">
        <v>1</v>
      </c>
      <c r="H33" s="9" t="s">
        <v>137</v>
      </c>
      <c r="I33" s="9" t="s">
        <v>19</v>
      </c>
      <c r="J33" s="25" t="s">
        <v>118</v>
      </c>
      <c r="K33" s="14"/>
      <c r="L33" s="14">
        <v>25.2</v>
      </c>
      <c r="M33" s="14"/>
      <c r="N33" s="14">
        <f t="shared" ref="N33:N49" si="2">SUM(G33*L33)</f>
        <v>25.2</v>
      </c>
      <c r="O33" s="48" t="s">
        <v>362</v>
      </c>
      <c r="P33" s="9"/>
      <c r="Q33" s="9"/>
      <c r="R33" s="9"/>
      <c r="S33" s="9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s="10" customFormat="1" ht="15" customHeight="1" x14ac:dyDescent="0.3">
      <c r="A34" s="12">
        <v>1.33</v>
      </c>
      <c r="B34" s="9" t="s">
        <v>20</v>
      </c>
      <c r="C34" s="9" t="s">
        <v>21</v>
      </c>
      <c r="D34" s="9" t="s">
        <v>80</v>
      </c>
      <c r="E34" s="9"/>
      <c r="F34" s="9" t="s">
        <v>96</v>
      </c>
      <c r="G34" s="9">
        <v>1</v>
      </c>
      <c r="H34" s="9" t="s">
        <v>137</v>
      </c>
      <c r="I34" s="9" t="s">
        <v>19</v>
      </c>
      <c r="J34" s="25" t="s">
        <v>119</v>
      </c>
      <c r="K34" s="14"/>
      <c r="L34" s="14">
        <v>19.989999999999998</v>
      </c>
      <c r="M34" s="14"/>
      <c r="N34" s="14">
        <f t="shared" si="2"/>
        <v>19.989999999999998</v>
      </c>
      <c r="O34" s="48" t="s">
        <v>362</v>
      </c>
      <c r="P34" s="9"/>
      <c r="Q34" s="9"/>
      <c r="R34" s="9"/>
      <c r="S34" s="9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ht="15" customHeight="1" x14ac:dyDescent="0.3">
      <c r="A35" s="12">
        <v>1.34</v>
      </c>
      <c r="B35" s="2" t="s">
        <v>20</v>
      </c>
      <c r="C35" s="2" t="s">
        <v>21</v>
      </c>
      <c r="D35" s="19" t="s">
        <v>98</v>
      </c>
      <c r="E35" s="19"/>
      <c r="F35" s="19" t="s">
        <v>99</v>
      </c>
      <c r="G35" s="2">
        <v>2</v>
      </c>
      <c r="H35" s="2" t="s">
        <v>136</v>
      </c>
      <c r="I35" s="2" t="s">
        <v>135</v>
      </c>
      <c r="J35" s="24" t="s">
        <v>120</v>
      </c>
      <c r="K35" s="35">
        <v>729</v>
      </c>
      <c r="L35" s="35">
        <v>873.45</v>
      </c>
      <c r="M35" s="12">
        <f t="shared" ref="M35:M49" si="3">SUM(G35*K35)</f>
        <v>1458</v>
      </c>
      <c r="N35" s="12">
        <f t="shared" si="2"/>
        <v>1746.9</v>
      </c>
      <c r="O35" s="47"/>
      <c r="P35" s="2"/>
      <c r="Q35" s="2"/>
      <c r="R35" s="2"/>
      <c r="S35" s="2"/>
    </row>
    <row r="36" spans="1:89" s="10" customFormat="1" ht="15" customHeight="1" x14ac:dyDescent="0.3">
      <c r="A36" s="12">
        <v>1.35</v>
      </c>
      <c r="B36" s="9" t="s">
        <v>20</v>
      </c>
      <c r="C36" s="9" t="s">
        <v>21</v>
      </c>
      <c r="D36" s="9" t="s">
        <v>106</v>
      </c>
      <c r="E36" s="9"/>
      <c r="F36" s="9" t="s">
        <v>330</v>
      </c>
      <c r="G36" s="9">
        <v>1</v>
      </c>
      <c r="H36" s="9" t="s">
        <v>136</v>
      </c>
      <c r="I36" s="9" t="s">
        <v>33</v>
      </c>
      <c r="J36" s="25" t="s">
        <v>121</v>
      </c>
      <c r="K36" s="14">
        <v>259.99</v>
      </c>
      <c r="L36" s="14">
        <v>303.39</v>
      </c>
      <c r="M36" s="14">
        <f t="shared" si="3"/>
        <v>259.99</v>
      </c>
      <c r="N36" s="14">
        <f t="shared" si="2"/>
        <v>303.39</v>
      </c>
      <c r="O36" s="48" t="s">
        <v>362</v>
      </c>
      <c r="P36" s="9"/>
      <c r="Q36" s="9"/>
      <c r="R36" s="9"/>
      <c r="S36" s="9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ht="15" customHeight="1" x14ac:dyDescent="0.3">
      <c r="A37" s="12">
        <v>1.36</v>
      </c>
      <c r="B37" s="2" t="s">
        <v>20</v>
      </c>
      <c r="C37" s="2" t="s">
        <v>21</v>
      </c>
      <c r="D37" s="19" t="s">
        <v>98</v>
      </c>
      <c r="E37" s="19"/>
      <c r="F37" s="19" t="s">
        <v>331</v>
      </c>
      <c r="G37" s="2">
        <v>1</v>
      </c>
      <c r="H37" s="2" t="s">
        <v>136</v>
      </c>
      <c r="I37" s="2" t="s">
        <v>135</v>
      </c>
      <c r="J37" s="24" t="s">
        <v>122</v>
      </c>
      <c r="K37" s="35">
        <v>149</v>
      </c>
      <c r="L37" s="35">
        <v>183.25</v>
      </c>
      <c r="M37" s="12">
        <f t="shared" si="3"/>
        <v>149</v>
      </c>
      <c r="N37" s="12">
        <f t="shared" si="2"/>
        <v>183.25</v>
      </c>
      <c r="O37" s="47"/>
      <c r="P37" s="2"/>
      <c r="Q37" s="2"/>
      <c r="R37" s="2"/>
      <c r="S37" s="2"/>
    </row>
    <row r="38" spans="1:89" ht="15" customHeight="1" x14ac:dyDescent="0.3">
      <c r="A38" s="12">
        <v>1.37</v>
      </c>
      <c r="B38" s="2" t="s">
        <v>20</v>
      </c>
      <c r="C38" s="2" t="s">
        <v>21</v>
      </c>
      <c r="D38" s="19" t="s">
        <v>98</v>
      </c>
      <c r="E38" s="19"/>
      <c r="F38" s="19" t="s">
        <v>332</v>
      </c>
      <c r="G38" s="2">
        <v>6</v>
      </c>
      <c r="H38" s="2" t="s">
        <v>147</v>
      </c>
      <c r="I38" s="2" t="s">
        <v>135</v>
      </c>
      <c r="J38" s="24" t="s">
        <v>123</v>
      </c>
      <c r="K38" s="35">
        <v>225.59</v>
      </c>
      <c r="L38" s="35">
        <v>274.39</v>
      </c>
      <c r="M38" s="12">
        <f t="shared" si="3"/>
        <v>1353.54</v>
      </c>
      <c r="N38" s="12">
        <f t="shared" si="2"/>
        <v>1646.34</v>
      </c>
      <c r="O38" s="47"/>
      <c r="P38" s="2"/>
      <c r="Q38" s="2"/>
      <c r="R38" s="2"/>
      <c r="S38" s="2"/>
    </row>
    <row r="39" spans="1:89" ht="15" customHeight="1" x14ac:dyDescent="0.3">
      <c r="A39" s="12">
        <v>1.38</v>
      </c>
      <c r="B39" s="2" t="s">
        <v>20</v>
      </c>
      <c r="C39" s="2" t="s">
        <v>21</v>
      </c>
      <c r="D39" s="19" t="s">
        <v>98</v>
      </c>
      <c r="E39" s="19"/>
      <c r="F39" s="19" t="s">
        <v>100</v>
      </c>
      <c r="G39" s="2">
        <v>2</v>
      </c>
      <c r="H39" s="2" t="s">
        <v>146</v>
      </c>
      <c r="I39" s="2" t="s">
        <v>135</v>
      </c>
      <c r="J39" s="24" t="s">
        <v>124</v>
      </c>
      <c r="K39" s="35">
        <v>269</v>
      </c>
      <c r="L39" s="35">
        <v>326.05</v>
      </c>
      <c r="M39" s="12">
        <f t="shared" si="3"/>
        <v>538</v>
      </c>
      <c r="N39" s="12">
        <f t="shared" si="2"/>
        <v>652.1</v>
      </c>
      <c r="O39" s="47"/>
      <c r="P39" s="2"/>
      <c r="Q39" s="2"/>
      <c r="R39" s="2"/>
      <c r="S39" s="2"/>
    </row>
    <row r="40" spans="1:89" ht="15" customHeight="1" x14ac:dyDescent="0.3">
      <c r="A40" s="12">
        <v>1.39</v>
      </c>
      <c r="B40" s="2" t="s">
        <v>20</v>
      </c>
      <c r="C40" s="2" t="s">
        <v>21</v>
      </c>
      <c r="D40" s="19" t="s">
        <v>98</v>
      </c>
      <c r="E40" s="19"/>
      <c r="F40" s="19" t="s">
        <v>148</v>
      </c>
      <c r="G40" s="2">
        <v>10</v>
      </c>
      <c r="H40" s="2" t="s">
        <v>136</v>
      </c>
      <c r="I40" s="2" t="s">
        <v>135</v>
      </c>
      <c r="J40" s="24" t="s">
        <v>125</v>
      </c>
      <c r="K40" s="35">
        <v>349</v>
      </c>
      <c r="L40" s="35">
        <v>415.904</v>
      </c>
      <c r="M40" s="12">
        <f t="shared" si="3"/>
        <v>3490</v>
      </c>
      <c r="N40" s="12">
        <f t="shared" si="2"/>
        <v>4159.04</v>
      </c>
      <c r="O40" s="47"/>
      <c r="P40" s="2"/>
      <c r="Q40" s="2"/>
      <c r="R40" s="2"/>
      <c r="S40" s="2"/>
    </row>
    <row r="41" spans="1:89" ht="15" customHeight="1" x14ac:dyDescent="0.3">
      <c r="A41" s="12">
        <v>1.4</v>
      </c>
      <c r="B41" s="2" t="s">
        <v>20</v>
      </c>
      <c r="C41" s="2" t="s">
        <v>21</v>
      </c>
      <c r="D41" s="19" t="s">
        <v>106</v>
      </c>
      <c r="E41" s="19"/>
      <c r="F41" s="19" t="s">
        <v>101</v>
      </c>
      <c r="G41" s="2">
        <v>5</v>
      </c>
      <c r="H41" s="2" t="s">
        <v>149</v>
      </c>
      <c r="I41" s="2" t="s">
        <v>132</v>
      </c>
      <c r="J41" s="24" t="s">
        <v>126</v>
      </c>
      <c r="K41" s="35">
        <v>239</v>
      </c>
      <c r="L41" s="35">
        <v>284.41000000000003</v>
      </c>
      <c r="M41" s="12">
        <f t="shared" si="3"/>
        <v>1195</v>
      </c>
      <c r="N41" s="12">
        <f t="shared" si="2"/>
        <v>1422.0500000000002</v>
      </c>
      <c r="O41" s="47"/>
      <c r="P41" s="2"/>
      <c r="Q41" s="2"/>
      <c r="R41" s="2"/>
      <c r="S41" s="2"/>
    </row>
    <row r="42" spans="1:89" s="10" customFormat="1" ht="15" customHeight="1" x14ac:dyDescent="0.3">
      <c r="A42" s="12">
        <v>1.41</v>
      </c>
      <c r="B42" s="9" t="s">
        <v>20</v>
      </c>
      <c r="C42" s="9" t="s">
        <v>21</v>
      </c>
      <c r="D42" s="9" t="s">
        <v>106</v>
      </c>
      <c r="E42" s="9"/>
      <c r="F42" s="9" t="s">
        <v>102</v>
      </c>
      <c r="G42" s="9">
        <v>6</v>
      </c>
      <c r="H42" s="9" t="s">
        <v>75</v>
      </c>
      <c r="I42" s="9" t="s">
        <v>75</v>
      </c>
      <c r="J42" s="25" t="s">
        <v>127</v>
      </c>
      <c r="K42" s="14">
        <v>139</v>
      </c>
      <c r="L42" s="14">
        <v>165.41</v>
      </c>
      <c r="M42" s="14">
        <f t="shared" si="3"/>
        <v>834</v>
      </c>
      <c r="N42" s="14">
        <f t="shared" si="2"/>
        <v>992.46</v>
      </c>
      <c r="O42" s="48" t="s">
        <v>362</v>
      </c>
      <c r="P42" s="9"/>
      <c r="Q42" s="9"/>
      <c r="R42" s="9"/>
      <c r="S42" s="9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ht="15" customHeight="1" x14ac:dyDescent="0.3">
      <c r="A43" s="12">
        <v>1.42</v>
      </c>
      <c r="B43" s="2" t="s">
        <v>20</v>
      </c>
      <c r="C43" s="2" t="s">
        <v>21</v>
      </c>
      <c r="D43" s="19" t="s">
        <v>106</v>
      </c>
      <c r="E43" s="19"/>
      <c r="F43" s="19" t="s">
        <v>103</v>
      </c>
      <c r="G43" s="2">
        <v>3</v>
      </c>
      <c r="H43" s="2"/>
      <c r="I43" s="2" t="s">
        <v>132</v>
      </c>
      <c r="J43" s="24" t="s">
        <v>128</v>
      </c>
      <c r="K43" s="35">
        <v>105</v>
      </c>
      <c r="L43" s="35">
        <v>124.9</v>
      </c>
      <c r="M43" s="12">
        <f t="shared" si="3"/>
        <v>315</v>
      </c>
      <c r="N43" s="12">
        <f t="shared" si="2"/>
        <v>374.70000000000005</v>
      </c>
      <c r="O43" s="47"/>
      <c r="P43" s="2"/>
      <c r="Q43" s="2"/>
      <c r="R43" s="2"/>
      <c r="S43" s="2"/>
    </row>
    <row r="44" spans="1:89" ht="15" customHeight="1" x14ac:dyDescent="0.3">
      <c r="A44" s="12">
        <v>1.43</v>
      </c>
      <c r="B44" s="2" t="s">
        <v>20</v>
      </c>
      <c r="C44" s="2" t="s">
        <v>21</v>
      </c>
      <c r="D44" s="19" t="s">
        <v>106</v>
      </c>
      <c r="E44" s="19"/>
      <c r="F44" s="19" t="s">
        <v>151</v>
      </c>
      <c r="G44" s="2">
        <v>5</v>
      </c>
      <c r="H44" s="2"/>
      <c r="I44" s="2" t="s">
        <v>133</v>
      </c>
      <c r="J44" s="24" t="s">
        <v>129</v>
      </c>
      <c r="K44" s="35">
        <v>563.87</v>
      </c>
      <c r="L44" s="35">
        <v>671</v>
      </c>
      <c r="M44" s="12">
        <f t="shared" si="3"/>
        <v>2819.35</v>
      </c>
      <c r="N44" s="12">
        <f t="shared" si="2"/>
        <v>3355</v>
      </c>
      <c r="O44" s="47"/>
      <c r="P44" s="2"/>
      <c r="Q44" s="2"/>
      <c r="R44" s="2"/>
      <c r="S44" s="2"/>
    </row>
    <row r="45" spans="1:89" s="10" customFormat="1" ht="15" customHeight="1" x14ac:dyDescent="0.3">
      <c r="A45" s="12">
        <v>1.44</v>
      </c>
      <c r="B45" s="9" t="s">
        <v>20</v>
      </c>
      <c r="C45" s="9" t="s">
        <v>21</v>
      </c>
      <c r="D45" s="9" t="s">
        <v>106</v>
      </c>
      <c r="E45" s="9"/>
      <c r="F45" s="9" t="s">
        <v>104</v>
      </c>
      <c r="G45" s="9">
        <v>2</v>
      </c>
      <c r="H45" s="9" t="s">
        <v>152</v>
      </c>
      <c r="I45" s="9" t="s">
        <v>135</v>
      </c>
      <c r="J45" s="25" t="s">
        <v>130</v>
      </c>
      <c r="K45" s="14">
        <v>444.99</v>
      </c>
      <c r="L45" s="14">
        <f>535.48</f>
        <v>535.48</v>
      </c>
      <c r="M45" s="14">
        <f t="shared" si="3"/>
        <v>889.98</v>
      </c>
      <c r="N45" s="14">
        <f t="shared" si="2"/>
        <v>1070.96</v>
      </c>
      <c r="O45" s="48" t="s">
        <v>362</v>
      </c>
      <c r="P45" s="9"/>
      <c r="Q45" s="9"/>
      <c r="R45" s="9"/>
      <c r="S45" s="9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pans="1:89" s="10" customFormat="1" ht="15" customHeight="1" x14ac:dyDescent="0.3">
      <c r="A46" s="12">
        <v>1.45</v>
      </c>
      <c r="B46" s="9" t="s">
        <v>20</v>
      </c>
      <c r="C46" s="9" t="s">
        <v>21</v>
      </c>
      <c r="D46" s="9" t="s">
        <v>106</v>
      </c>
      <c r="E46" s="9"/>
      <c r="F46" s="9" t="s">
        <v>105</v>
      </c>
      <c r="G46" s="9">
        <v>2</v>
      </c>
      <c r="H46" s="9" t="s">
        <v>152</v>
      </c>
      <c r="I46" s="9" t="s">
        <v>135</v>
      </c>
      <c r="J46" s="25" t="s">
        <v>131</v>
      </c>
      <c r="K46" s="14">
        <v>644.99</v>
      </c>
      <c r="L46" s="14">
        <v>773.48</v>
      </c>
      <c r="M46" s="14">
        <f t="shared" si="3"/>
        <v>1289.98</v>
      </c>
      <c r="N46" s="14">
        <f t="shared" si="2"/>
        <v>1546.96</v>
      </c>
      <c r="O46" s="48" t="s">
        <v>362</v>
      </c>
      <c r="P46" s="9"/>
      <c r="Q46" s="9"/>
      <c r="R46" s="9"/>
      <c r="S46" s="9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ht="15" customHeight="1" x14ac:dyDescent="0.3">
      <c r="A47" s="12">
        <v>1.46</v>
      </c>
      <c r="B47" s="2" t="s">
        <v>20</v>
      </c>
      <c r="C47" s="2" t="s">
        <v>21</v>
      </c>
      <c r="D47" s="2" t="s">
        <v>251</v>
      </c>
      <c r="E47" s="2"/>
      <c r="F47" s="2" t="s">
        <v>267</v>
      </c>
      <c r="G47" s="2">
        <v>1</v>
      </c>
      <c r="H47" s="2" t="s">
        <v>268</v>
      </c>
      <c r="I47" s="2" t="s">
        <v>269</v>
      </c>
      <c r="J47" s="24"/>
      <c r="K47" s="35">
        <v>8084.34</v>
      </c>
      <c r="L47" s="35">
        <v>9620.36</v>
      </c>
      <c r="M47" s="12">
        <f t="shared" si="3"/>
        <v>8084.34</v>
      </c>
      <c r="N47" s="12">
        <f t="shared" si="2"/>
        <v>9620.36</v>
      </c>
      <c r="O47" s="49"/>
      <c r="P47" s="2"/>
      <c r="Q47" s="2"/>
      <c r="R47" s="2"/>
      <c r="S47" s="2"/>
    </row>
    <row r="48" spans="1:89" s="14" customFormat="1" ht="15" customHeight="1" x14ac:dyDescent="0.3">
      <c r="A48" s="12">
        <v>1.47</v>
      </c>
      <c r="B48" s="14" t="s">
        <v>20</v>
      </c>
      <c r="C48" s="14" t="s">
        <v>21</v>
      </c>
      <c r="D48" s="20" t="s">
        <v>251</v>
      </c>
      <c r="F48" s="14" t="s">
        <v>270</v>
      </c>
      <c r="G48" s="9">
        <v>1</v>
      </c>
      <c r="H48" s="14" t="s">
        <v>271</v>
      </c>
      <c r="I48" s="14" t="s">
        <v>272</v>
      </c>
      <c r="J48" s="26"/>
      <c r="K48" s="14">
        <v>1901</v>
      </c>
      <c r="L48" s="14">
        <v>2262.19</v>
      </c>
      <c r="M48" s="14">
        <f t="shared" si="3"/>
        <v>1901</v>
      </c>
      <c r="N48" s="14">
        <f t="shared" si="2"/>
        <v>2262.19</v>
      </c>
      <c r="O48" s="48" t="s">
        <v>449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</row>
    <row r="49" spans="1:19" ht="15" customHeight="1" x14ac:dyDescent="0.3">
      <c r="A49" s="12">
        <v>1.48</v>
      </c>
      <c r="B49" s="2" t="s">
        <v>20</v>
      </c>
      <c r="C49" s="2" t="s">
        <v>21</v>
      </c>
      <c r="D49" s="2" t="s">
        <v>251</v>
      </c>
      <c r="E49" s="2"/>
      <c r="F49" s="6" t="s">
        <v>273</v>
      </c>
      <c r="G49" s="6">
        <v>1</v>
      </c>
      <c r="H49" s="6" t="s">
        <v>396</v>
      </c>
      <c r="I49" s="6"/>
      <c r="J49" s="24"/>
      <c r="K49" s="36"/>
      <c r="L49" s="36"/>
      <c r="M49" s="45">
        <f t="shared" si="3"/>
        <v>0</v>
      </c>
      <c r="N49" s="45">
        <f t="shared" si="2"/>
        <v>0</v>
      </c>
      <c r="O49" s="47"/>
      <c r="P49" s="2"/>
      <c r="Q49" s="2"/>
      <c r="R49" s="2"/>
      <c r="S49" s="2"/>
    </row>
    <row r="50" spans="1:19" ht="15" customHeight="1" x14ac:dyDescent="0.3">
      <c r="A50" s="12">
        <v>2.0099999999999998</v>
      </c>
      <c r="B50" s="2" t="s">
        <v>153</v>
      </c>
      <c r="C50" s="2" t="s">
        <v>21</v>
      </c>
      <c r="D50" s="21" t="s">
        <v>98</v>
      </c>
      <c r="E50" s="21"/>
      <c r="F50" s="21" t="s">
        <v>100</v>
      </c>
      <c r="G50" s="2">
        <v>2</v>
      </c>
      <c r="H50" s="2" t="s">
        <v>228</v>
      </c>
      <c r="I50" s="2" t="s">
        <v>226</v>
      </c>
      <c r="J50" s="24" t="s">
        <v>227</v>
      </c>
      <c r="K50" s="12"/>
      <c r="L50" s="12">
        <v>174.9</v>
      </c>
      <c r="M50" s="12">
        <f t="shared" ref="M50:M64" si="4">SUM(G50*K50)</f>
        <v>0</v>
      </c>
      <c r="N50" s="12">
        <f t="shared" ref="N50:N64" si="5">SUM(G50*L50)</f>
        <v>349.8</v>
      </c>
      <c r="O50" s="47"/>
      <c r="P50" s="2"/>
      <c r="Q50" s="2"/>
      <c r="R50" s="2"/>
      <c r="S50" s="2"/>
    </row>
    <row r="51" spans="1:19" ht="15" customHeight="1" x14ac:dyDescent="0.3">
      <c r="A51" s="12">
        <v>2.02</v>
      </c>
      <c r="B51" s="2" t="s">
        <v>153</v>
      </c>
      <c r="C51" s="2" t="s">
        <v>21</v>
      </c>
      <c r="D51" s="21" t="s">
        <v>98</v>
      </c>
      <c r="E51" s="21"/>
      <c r="F51" s="21" t="s">
        <v>265</v>
      </c>
      <c r="G51" s="2">
        <v>1</v>
      </c>
      <c r="H51" s="2" t="s">
        <v>230</v>
      </c>
      <c r="I51" s="2" t="s">
        <v>231</v>
      </c>
      <c r="J51" s="24" t="s">
        <v>229</v>
      </c>
      <c r="K51" s="12"/>
      <c r="L51" s="12">
        <v>1129</v>
      </c>
      <c r="M51" s="12">
        <f t="shared" si="4"/>
        <v>0</v>
      </c>
      <c r="N51" s="12">
        <f t="shared" si="5"/>
        <v>1129</v>
      </c>
      <c r="O51" s="47"/>
      <c r="P51" s="2"/>
      <c r="Q51" s="2"/>
      <c r="R51" s="2"/>
      <c r="S51" s="2"/>
    </row>
    <row r="52" spans="1:19" ht="15" customHeight="1" x14ac:dyDescent="0.3">
      <c r="A52" s="12">
        <v>2.0299999999999998</v>
      </c>
      <c r="B52" s="2" t="s">
        <v>153</v>
      </c>
      <c r="C52" s="2" t="s">
        <v>21</v>
      </c>
      <c r="D52" s="18" t="s">
        <v>357</v>
      </c>
      <c r="E52" s="18" t="s">
        <v>154</v>
      </c>
      <c r="F52" s="18" t="s">
        <v>447</v>
      </c>
      <c r="G52" s="2">
        <v>1</v>
      </c>
      <c r="H52" s="2" t="s">
        <v>450</v>
      </c>
      <c r="I52" s="2" t="s">
        <v>346</v>
      </c>
      <c r="J52" s="27"/>
      <c r="K52" s="12"/>
      <c r="L52" s="35">
        <v>758.75</v>
      </c>
      <c r="M52" s="35"/>
      <c r="N52" s="35">
        <f t="shared" ref="N52" si="6">SUM(G52*L52)</f>
        <v>758.75</v>
      </c>
      <c r="O52" s="47"/>
      <c r="P52" s="2"/>
      <c r="Q52" s="2"/>
      <c r="R52" s="2"/>
      <c r="S52" s="2"/>
    </row>
    <row r="53" spans="1:19" ht="15" customHeight="1" x14ac:dyDescent="0.3">
      <c r="A53" s="12">
        <v>2.04</v>
      </c>
      <c r="B53" s="2" t="s">
        <v>153</v>
      </c>
      <c r="C53" s="2" t="s">
        <v>21</v>
      </c>
      <c r="D53" s="18" t="s">
        <v>357</v>
      </c>
      <c r="E53" s="18" t="s">
        <v>218</v>
      </c>
      <c r="F53" s="18" t="s">
        <v>338</v>
      </c>
      <c r="G53" s="2">
        <v>1</v>
      </c>
      <c r="H53" s="2"/>
      <c r="I53" s="2" t="s">
        <v>346</v>
      </c>
      <c r="J53" s="27"/>
      <c r="K53" s="12"/>
      <c r="L53" s="12"/>
      <c r="M53" s="12">
        <f t="shared" si="4"/>
        <v>0</v>
      </c>
      <c r="N53" s="12">
        <f t="shared" si="5"/>
        <v>0</v>
      </c>
      <c r="O53" s="47"/>
      <c r="P53" s="2"/>
      <c r="Q53" s="2"/>
      <c r="R53" s="2"/>
      <c r="S53" s="2"/>
    </row>
    <row r="54" spans="1:19" ht="15" customHeight="1" x14ac:dyDescent="0.3">
      <c r="A54" s="12">
        <v>2.0499999999999998</v>
      </c>
      <c r="B54" s="2" t="s">
        <v>153</v>
      </c>
      <c r="C54" s="2" t="s">
        <v>21</v>
      </c>
      <c r="D54" s="21" t="s">
        <v>357</v>
      </c>
      <c r="E54" s="21" t="s">
        <v>155</v>
      </c>
      <c r="F54" s="21" t="s">
        <v>155</v>
      </c>
      <c r="G54" s="2">
        <v>1</v>
      </c>
      <c r="H54" s="2"/>
      <c r="I54" s="2"/>
      <c r="J54" s="27"/>
      <c r="K54" s="12"/>
      <c r="L54" s="12"/>
      <c r="M54" s="12">
        <f t="shared" si="4"/>
        <v>0</v>
      </c>
      <c r="N54" s="12">
        <f t="shared" si="5"/>
        <v>0</v>
      </c>
      <c r="O54" s="47"/>
      <c r="P54" s="2"/>
      <c r="Q54" s="2"/>
      <c r="R54" s="2"/>
      <c r="S54" s="2"/>
    </row>
    <row r="55" spans="1:19" ht="15" customHeight="1" x14ac:dyDescent="0.3">
      <c r="A55" s="12">
        <v>2.06</v>
      </c>
      <c r="B55" s="2" t="s">
        <v>153</v>
      </c>
      <c r="C55" s="2" t="s">
        <v>21</v>
      </c>
      <c r="D55" s="18" t="s">
        <v>357</v>
      </c>
      <c r="E55" s="18" t="s">
        <v>6</v>
      </c>
      <c r="F55" s="18" t="s">
        <v>451</v>
      </c>
      <c r="G55" s="2">
        <v>10</v>
      </c>
      <c r="H55" s="2" t="s">
        <v>9</v>
      </c>
      <c r="I55" s="2" t="s">
        <v>346</v>
      </c>
      <c r="J55" s="27"/>
      <c r="K55" s="12"/>
      <c r="L55" s="35">
        <v>430</v>
      </c>
      <c r="M55" s="12">
        <f t="shared" si="4"/>
        <v>0</v>
      </c>
      <c r="N55" s="12">
        <f t="shared" si="5"/>
        <v>4300</v>
      </c>
      <c r="O55" s="47"/>
      <c r="P55" s="2"/>
      <c r="Q55" s="2"/>
      <c r="R55" s="2"/>
      <c r="S55" s="2"/>
    </row>
    <row r="56" spans="1:19" ht="15" customHeight="1" x14ac:dyDescent="0.3">
      <c r="A56" s="12">
        <v>2.0699999999999998</v>
      </c>
      <c r="B56" s="2" t="s">
        <v>153</v>
      </c>
      <c r="C56" s="2" t="s">
        <v>21</v>
      </c>
      <c r="D56" s="21" t="s">
        <v>357</v>
      </c>
      <c r="E56" s="21" t="s">
        <v>339</v>
      </c>
      <c r="F56" s="21" t="s">
        <v>340</v>
      </c>
      <c r="G56" s="2">
        <v>10</v>
      </c>
      <c r="H56" s="2" t="s">
        <v>225</v>
      </c>
      <c r="I56" s="2" t="s">
        <v>19</v>
      </c>
      <c r="J56" s="24" t="s">
        <v>224</v>
      </c>
      <c r="K56" s="12"/>
      <c r="L56" s="12">
        <v>269.99</v>
      </c>
      <c r="M56" s="12">
        <f t="shared" si="4"/>
        <v>0</v>
      </c>
      <c r="N56" s="12">
        <f t="shared" si="5"/>
        <v>2699.9</v>
      </c>
      <c r="O56" s="47"/>
      <c r="P56" s="2"/>
      <c r="Q56" s="2"/>
      <c r="R56" s="2"/>
      <c r="S56" s="2"/>
    </row>
    <row r="57" spans="1:19" ht="15" customHeight="1" x14ac:dyDescent="0.3">
      <c r="A57" s="12">
        <v>2.08</v>
      </c>
      <c r="B57" s="2" t="s">
        <v>153</v>
      </c>
      <c r="C57" s="2" t="s">
        <v>21</v>
      </c>
      <c r="D57" s="21" t="s">
        <v>357</v>
      </c>
      <c r="E57" s="21" t="s">
        <v>341</v>
      </c>
      <c r="F57" s="21" t="s">
        <v>156</v>
      </c>
      <c r="G57" s="2">
        <v>1</v>
      </c>
      <c r="H57" s="2" t="s">
        <v>223</v>
      </c>
      <c r="I57" s="2" t="s">
        <v>62</v>
      </c>
      <c r="J57" s="27"/>
      <c r="K57" s="12">
        <v>629.41</v>
      </c>
      <c r="L57" s="12">
        <v>749</v>
      </c>
      <c r="M57" s="12">
        <f t="shared" si="4"/>
        <v>629.41</v>
      </c>
      <c r="N57" s="12">
        <f t="shared" si="5"/>
        <v>749</v>
      </c>
      <c r="O57" s="47"/>
      <c r="P57" s="2"/>
      <c r="Q57" s="2"/>
      <c r="R57" s="2"/>
      <c r="S57" s="2"/>
    </row>
    <row r="58" spans="1:19" ht="15" customHeight="1" x14ac:dyDescent="0.3">
      <c r="A58" s="12">
        <v>2.09</v>
      </c>
      <c r="B58" s="2" t="s">
        <v>153</v>
      </c>
      <c r="C58" s="2" t="s">
        <v>21</v>
      </c>
      <c r="D58" s="21" t="s">
        <v>357</v>
      </c>
      <c r="E58" s="21" t="s">
        <v>157</v>
      </c>
      <c r="F58" s="21" t="s">
        <v>222</v>
      </c>
      <c r="G58" s="2">
        <v>1</v>
      </c>
      <c r="H58" s="2" t="s">
        <v>221</v>
      </c>
      <c r="I58" s="2" t="s">
        <v>62</v>
      </c>
      <c r="J58" s="24" t="s">
        <v>220</v>
      </c>
      <c r="K58" s="12">
        <v>1189.08</v>
      </c>
      <c r="L58" s="12">
        <v>1415.01</v>
      </c>
      <c r="M58" s="12">
        <f t="shared" si="4"/>
        <v>1189.08</v>
      </c>
      <c r="N58" s="12">
        <f t="shared" si="5"/>
        <v>1415.01</v>
      </c>
      <c r="O58" s="47"/>
      <c r="P58" s="2"/>
      <c r="Q58" s="2"/>
      <c r="R58" s="2"/>
      <c r="S58" s="2"/>
    </row>
    <row r="59" spans="1:19" ht="15" customHeight="1" x14ac:dyDescent="0.3">
      <c r="A59" s="12">
        <v>2.1</v>
      </c>
      <c r="B59" s="2" t="s">
        <v>153</v>
      </c>
      <c r="C59" s="2" t="s">
        <v>21</v>
      </c>
      <c r="D59" s="18" t="s">
        <v>357</v>
      </c>
      <c r="E59" s="18" t="s">
        <v>18</v>
      </c>
      <c r="F59" s="18" t="s">
        <v>158</v>
      </c>
      <c r="G59" s="2">
        <v>1</v>
      </c>
      <c r="H59" s="2"/>
      <c r="I59" s="2"/>
      <c r="J59" s="27"/>
      <c r="K59" s="12"/>
      <c r="L59" s="12"/>
      <c r="M59" s="12">
        <f t="shared" si="4"/>
        <v>0</v>
      </c>
      <c r="N59" s="12">
        <f t="shared" si="5"/>
        <v>0</v>
      </c>
      <c r="O59" s="47"/>
      <c r="P59" s="2"/>
      <c r="Q59" s="2"/>
      <c r="R59" s="2"/>
      <c r="S59" s="2"/>
    </row>
    <row r="60" spans="1:19" ht="15" customHeight="1" x14ac:dyDescent="0.3">
      <c r="A60" s="12">
        <v>2.11</v>
      </c>
      <c r="B60" s="2" t="s">
        <v>153</v>
      </c>
      <c r="C60" s="2" t="s">
        <v>21</v>
      </c>
      <c r="D60" s="21" t="s">
        <v>357</v>
      </c>
      <c r="E60" s="21" t="s">
        <v>335</v>
      </c>
      <c r="F60" s="21" t="s">
        <v>232</v>
      </c>
      <c r="G60" s="2">
        <v>2</v>
      </c>
      <c r="H60" s="2"/>
      <c r="I60" s="2"/>
      <c r="J60" s="27"/>
      <c r="K60" s="12"/>
      <c r="L60" s="12"/>
      <c r="M60" s="12">
        <f t="shared" si="4"/>
        <v>0</v>
      </c>
      <c r="N60" s="12">
        <f t="shared" si="5"/>
        <v>0</v>
      </c>
      <c r="O60" s="47"/>
      <c r="P60" s="2"/>
      <c r="Q60" s="2"/>
      <c r="R60" s="2"/>
      <c r="S60" s="2"/>
    </row>
    <row r="61" spans="1:19" ht="15" customHeight="1" x14ac:dyDescent="0.3">
      <c r="A61" s="12">
        <v>2.12</v>
      </c>
      <c r="B61" s="2" t="s">
        <v>153</v>
      </c>
      <c r="C61" s="2" t="s">
        <v>21</v>
      </c>
      <c r="D61" s="18" t="s">
        <v>74</v>
      </c>
      <c r="E61" s="18" t="s">
        <v>15</v>
      </c>
      <c r="F61" s="18" t="s">
        <v>453</v>
      </c>
      <c r="G61" s="2">
        <v>1</v>
      </c>
      <c r="H61" s="2"/>
      <c r="I61" s="2"/>
      <c r="J61" s="27"/>
      <c r="K61" s="12"/>
      <c r="L61" s="12"/>
      <c r="M61" s="12">
        <f t="shared" si="4"/>
        <v>0</v>
      </c>
      <c r="N61" s="12">
        <f t="shared" si="5"/>
        <v>0</v>
      </c>
      <c r="O61" s="47"/>
      <c r="P61" s="2"/>
      <c r="Q61" s="2"/>
      <c r="R61" s="2"/>
      <c r="S61" s="2"/>
    </row>
    <row r="62" spans="1:19" ht="15" customHeight="1" x14ac:dyDescent="0.3">
      <c r="A62" s="12">
        <v>2.13</v>
      </c>
      <c r="B62" s="2" t="s">
        <v>153</v>
      </c>
      <c r="C62" s="2" t="s">
        <v>21</v>
      </c>
      <c r="D62" s="18" t="s">
        <v>357</v>
      </c>
      <c r="E62" s="18" t="s">
        <v>342</v>
      </c>
      <c r="F62" s="18" t="s">
        <v>159</v>
      </c>
      <c r="G62" s="2">
        <v>1</v>
      </c>
      <c r="H62" s="2" t="s">
        <v>456</v>
      </c>
      <c r="I62" s="2" t="s">
        <v>455</v>
      </c>
      <c r="J62" s="27"/>
      <c r="K62" s="12"/>
      <c r="L62" s="12">
        <v>4000</v>
      </c>
      <c r="M62" s="12">
        <f t="shared" si="4"/>
        <v>0</v>
      </c>
      <c r="N62" s="12">
        <f t="shared" si="5"/>
        <v>4000</v>
      </c>
      <c r="O62" s="47"/>
      <c r="P62" s="2"/>
      <c r="Q62" s="2"/>
      <c r="R62" s="2"/>
      <c r="S62" s="2"/>
    </row>
    <row r="63" spans="1:19" ht="15" customHeight="1" x14ac:dyDescent="0.3">
      <c r="A63" s="12">
        <v>2.14</v>
      </c>
      <c r="B63" s="2" t="s">
        <v>153</v>
      </c>
      <c r="C63" s="2" t="s">
        <v>21</v>
      </c>
      <c r="D63" s="21" t="s">
        <v>357</v>
      </c>
      <c r="E63" s="21"/>
      <c r="F63" s="21" t="s">
        <v>160</v>
      </c>
      <c r="G63" s="2">
        <v>1</v>
      </c>
      <c r="H63" s="2" t="s">
        <v>202</v>
      </c>
      <c r="I63" s="2" t="s">
        <v>202</v>
      </c>
      <c r="J63" s="28" t="s">
        <v>203</v>
      </c>
      <c r="K63" s="12">
        <v>6966.39</v>
      </c>
      <c r="L63" s="12">
        <v>8290</v>
      </c>
      <c r="M63" s="12">
        <f t="shared" si="4"/>
        <v>6966.39</v>
      </c>
      <c r="N63" s="12">
        <f t="shared" si="5"/>
        <v>8290</v>
      </c>
      <c r="O63" s="47"/>
      <c r="P63" s="2"/>
      <c r="Q63" s="2"/>
      <c r="R63" s="2"/>
      <c r="S63" s="2"/>
    </row>
    <row r="64" spans="1:19" ht="15" customHeight="1" x14ac:dyDescent="0.3">
      <c r="A64" s="12">
        <v>2.15</v>
      </c>
      <c r="B64" s="2" t="s">
        <v>153</v>
      </c>
      <c r="C64" s="2" t="s">
        <v>21</v>
      </c>
      <c r="D64" s="2" t="s">
        <v>251</v>
      </c>
      <c r="E64" s="2"/>
      <c r="F64" s="2" t="s">
        <v>274</v>
      </c>
      <c r="G64" s="2">
        <v>1</v>
      </c>
      <c r="H64" s="2" t="s">
        <v>275</v>
      </c>
      <c r="I64" s="2"/>
      <c r="J64" s="27"/>
      <c r="K64" s="12"/>
      <c r="L64" s="12">
        <v>19000</v>
      </c>
      <c r="M64" s="12">
        <f t="shared" si="4"/>
        <v>0</v>
      </c>
      <c r="N64" s="12">
        <f t="shared" si="5"/>
        <v>19000</v>
      </c>
      <c r="O64" s="47"/>
      <c r="P64" s="2"/>
      <c r="Q64" s="2"/>
      <c r="R64" s="2"/>
      <c r="S64" s="2"/>
    </row>
    <row r="65" spans="1:19" ht="15" customHeight="1" x14ac:dyDescent="0.3">
      <c r="A65" s="12">
        <v>3.01</v>
      </c>
      <c r="B65" s="2" t="s">
        <v>161</v>
      </c>
      <c r="C65" s="2" t="s">
        <v>21</v>
      </c>
      <c r="D65" s="18" t="s">
        <v>357</v>
      </c>
      <c r="E65" s="18" t="s">
        <v>18</v>
      </c>
      <c r="F65" s="18" t="s">
        <v>300</v>
      </c>
      <c r="G65" s="2">
        <v>1</v>
      </c>
      <c r="H65" s="2" t="s">
        <v>26</v>
      </c>
      <c r="I65" s="2" t="s">
        <v>26</v>
      </c>
      <c r="J65" s="29" t="s">
        <v>301</v>
      </c>
      <c r="K65" s="37">
        <v>4522.28</v>
      </c>
      <c r="L65" s="37">
        <v>5381.51</v>
      </c>
      <c r="M65" s="12">
        <f>G65*K65</f>
        <v>4522.28</v>
      </c>
      <c r="N65" s="12">
        <f t="shared" ref="N65:N77" si="7">G65*L65</f>
        <v>5381.51</v>
      </c>
      <c r="O65" s="47"/>
      <c r="P65" s="2"/>
      <c r="Q65" s="2"/>
      <c r="R65" s="2"/>
      <c r="S65" s="2"/>
    </row>
    <row r="66" spans="1:19" ht="15" customHeight="1" x14ac:dyDescent="0.3">
      <c r="A66" s="12">
        <v>3.02</v>
      </c>
      <c r="B66" s="2" t="s">
        <v>161</v>
      </c>
      <c r="C66" s="2" t="s">
        <v>21</v>
      </c>
      <c r="D66" s="18" t="s">
        <v>357</v>
      </c>
      <c r="E66" s="18" t="s">
        <v>345</v>
      </c>
      <c r="F66" s="18" t="s">
        <v>297</v>
      </c>
      <c r="G66" s="2">
        <v>1</v>
      </c>
      <c r="H66" s="2" t="s">
        <v>184</v>
      </c>
      <c r="I66" s="2" t="s">
        <v>298</v>
      </c>
      <c r="J66" s="29" t="s">
        <v>299</v>
      </c>
      <c r="K66" s="37">
        <v>1370</v>
      </c>
      <c r="L66" s="37">
        <v>1630.3</v>
      </c>
      <c r="M66" s="12">
        <f>G66*K66</f>
        <v>1370</v>
      </c>
      <c r="N66" s="12">
        <f t="shared" si="7"/>
        <v>1630.3</v>
      </c>
      <c r="O66" s="47"/>
      <c r="P66" s="2"/>
      <c r="Q66" s="2"/>
      <c r="R66" s="2"/>
      <c r="S66" s="2"/>
    </row>
    <row r="67" spans="1:19" ht="15" customHeight="1" x14ac:dyDescent="0.3">
      <c r="A67" s="12">
        <v>3.03</v>
      </c>
      <c r="B67" s="2" t="s">
        <v>161</v>
      </c>
      <c r="C67" s="2" t="s">
        <v>21</v>
      </c>
      <c r="D67" s="18" t="s">
        <v>357</v>
      </c>
      <c r="E67" s="18" t="s">
        <v>351</v>
      </c>
      <c r="F67" s="18" t="s">
        <v>352</v>
      </c>
      <c r="G67" s="2">
        <v>1</v>
      </c>
      <c r="H67" s="2" t="s">
        <v>290</v>
      </c>
      <c r="I67" s="2" t="s">
        <v>291</v>
      </c>
      <c r="J67" s="29" t="s">
        <v>292</v>
      </c>
      <c r="K67" s="12"/>
      <c r="L67" s="37">
        <v>489</v>
      </c>
      <c r="M67" s="12"/>
      <c r="N67" s="12">
        <f t="shared" si="7"/>
        <v>489</v>
      </c>
      <c r="O67" s="47"/>
      <c r="P67" s="2"/>
      <c r="Q67" s="2"/>
      <c r="R67" s="2"/>
      <c r="S67" s="2"/>
    </row>
    <row r="68" spans="1:19" ht="15" customHeight="1" x14ac:dyDescent="0.3">
      <c r="A68" s="12">
        <v>3.04</v>
      </c>
      <c r="B68" s="2" t="s">
        <v>161</v>
      </c>
      <c r="C68" s="2" t="s">
        <v>21</v>
      </c>
      <c r="D68" s="21" t="s">
        <v>357</v>
      </c>
      <c r="E68" s="21"/>
      <c r="F68" s="21" t="s">
        <v>296</v>
      </c>
      <c r="G68" s="2">
        <v>1</v>
      </c>
      <c r="H68" s="2" t="s">
        <v>295</v>
      </c>
      <c r="I68" s="2" t="s">
        <v>294</v>
      </c>
      <c r="J68" s="29" t="s">
        <v>293</v>
      </c>
      <c r="K68" s="12"/>
      <c r="L68" s="37">
        <v>52.99</v>
      </c>
      <c r="M68" s="12"/>
      <c r="N68" s="12">
        <f t="shared" si="7"/>
        <v>52.99</v>
      </c>
      <c r="O68" s="47"/>
      <c r="P68" s="2"/>
      <c r="Q68" s="2"/>
      <c r="R68" s="2"/>
      <c r="S68" s="2"/>
    </row>
    <row r="69" spans="1:19" ht="15" customHeight="1" x14ac:dyDescent="0.3">
      <c r="A69" s="12">
        <v>3.05</v>
      </c>
      <c r="B69" s="2" t="s">
        <v>161</v>
      </c>
      <c r="C69" s="2" t="s">
        <v>21</v>
      </c>
      <c r="D69" s="21" t="s">
        <v>357</v>
      </c>
      <c r="E69" s="21" t="s">
        <v>353</v>
      </c>
      <c r="F69" s="21" t="s">
        <v>354</v>
      </c>
      <c r="G69" s="2">
        <v>1</v>
      </c>
      <c r="H69" s="2" t="s">
        <v>302</v>
      </c>
      <c r="I69" s="2" t="s">
        <v>303</v>
      </c>
      <c r="J69" s="29" t="s">
        <v>304</v>
      </c>
      <c r="K69" s="12"/>
      <c r="L69" s="37">
        <v>1699</v>
      </c>
      <c r="M69" s="12"/>
      <c r="N69" s="12">
        <f t="shared" si="7"/>
        <v>1699</v>
      </c>
      <c r="O69" s="47"/>
      <c r="P69" s="2"/>
      <c r="Q69" s="2"/>
      <c r="R69" s="2"/>
      <c r="S69" s="2"/>
    </row>
    <row r="70" spans="1:19" ht="15" customHeight="1" x14ac:dyDescent="0.3">
      <c r="A70" s="12">
        <v>3.06</v>
      </c>
      <c r="B70" s="2" t="s">
        <v>161</v>
      </c>
      <c r="C70" s="2" t="s">
        <v>21</v>
      </c>
      <c r="D70" s="18" t="s">
        <v>357</v>
      </c>
      <c r="E70" s="18" t="s">
        <v>6</v>
      </c>
      <c r="F70" s="18" t="s">
        <v>344</v>
      </c>
      <c r="G70" s="2">
        <v>1</v>
      </c>
      <c r="H70" s="2" t="s">
        <v>9</v>
      </c>
      <c r="I70" s="2" t="s">
        <v>305</v>
      </c>
      <c r="J70" s="3"/>
      <c r="K70" s="12"/>
      <c r="L70" s="41">
        <v>400</v>
      </c>
      <c r="M70" s="12"/>
      <c r="N70" s="12">
        <f t="shared" si="7"/>
        <v>400</v>
      </c>
      <c r="O70" s="47"/>
      <c r="P70" s="2"/>
      <c r="Q70" s="2"/>
      <c r="R70" s="2"/>
      <c r="S70" s="2"/>
    </row>
    <row r="71" spans="1:19" ht="15" customHeight="1" x14ac:dyDescent="0.3">
      <c r="A71" s="12">
        <v>3.07</v>
      </c>
      <c r="B71" s="2" t="s">
        <v>161</v>
      </c>
      <c r="C71" s="2" t="s">
        <v>21</v>
      </c>
      <c r="D71" s="18" t="s">
        <v>357</v>
      </c>
      <c r="E71" s="18" t="s">
        <v>154</v>
      </c>
      <c r="F71" s="18" t="s">
        <v>154</v>
      </c>
      <c r="G71" s="2">
        <v>1</v>
      </c>
      <c r="H71" s="2" t="s">
        <v>257</v>
      </c>
      <c r="I71" s="2" t="s">
        <v>258</v>
      </c>
      <c r="J71" s="3"/>
      <c r="K71" s="12"/>
      <c r="L71" s="41">
        <v>820</v>
      </c>
      <c r="M71" s="12"/>
      <c r="N71" s="12">
        <f t="shared" si="7"/>
        <v>820</v>
      </c>
      <c r="O71" s="47"/>
      <c r="P71" s="2"/>
      <c r="Q71" s="2"/>
      <c r="R71" s="2"/>
      <c r="S71" s="2"/>
    </row>
    <row r="72" spans="1:19" ht="15" customHeight="1" x14ac:dyDescent="0.3">
      <c r="A72" s="12">
        <v>3.08</v>
      </c>
      <c r="B72" s="2" t="s">
        <v>161</v>
      </c>
      <c r="C72" s="2" t="s">
        <v>21</v>
      </c>
      <c r="D72" s="21" t="s">
        <v>74</v>
      </c>
      <c r="E72" s="21"/>
      <c r="F72" s="21" t="s">
        <v>162</v>
      </c>
      <c r="G72" s="2">
        <v>1</v>
      </c>
      <c r="H72" s="2" t="s">
        <v>256</v>
      </c>
      <c r="I72" s="2"/>
      <c r="J72" s="3"/>
      <c r="K72" s="12"/>
      <c r="L72" s="12">
        <v>50</v>
      </c>
      <c r="M72" s="12"/>
      <c r="N72" s="12">
        <f t="shared" si="7"/>
        <v>50</v>
      </c>
      <c r="O72" s="47"/>
      <c r="P72" s="2"/>
      <c r="Q72" s="2"/>
      <c r="R72" s="2"/>
      <c r="S72" s="2"/>
    </row>
    <row r="73" spans="1:19" ht="15" customHeight="1" x14ac:dyDescent="0.3">
      <c r="A73" s="12">
        <v>3.09</v>
      </c>
      <c r="B73" s="2" t="s">
        <v>161</v>
      </c>
      <c r="C73" s="2" t="s">
        <v>21</v>
      </c>
      <c r="D73" s="21" t="s">
        <v>357</v>
      </c>
      <c r="E73" s="21" t="s">
        <v>350</v>
      </c>
      <c r="F73" s="21" t="s">
        <v>289</v>
      </c>
      <c r="G73" s="2">
        <v>1</v>
      </c>
      <c r="H73" s="2" t="s">
        <v>68</v>
      </c>
      <c r="I73" s="2"/>
      <c r="J73" s="3"/>
      <c r="K73" s="12"/>
      <c r="L73" s="12">
        <v>80</v>
      </c>
      <c r="M73" s="12"/>
      <c r="N73" s="12">
        <f t="shared" si="7"/>
        <v>80</v>
      </c>
      <c r="O73" s="47"/>
      <c r="P73" s="2"/>
      <c r="Q73" s="2"/>
      <c r="R73" s="2"/>
      <c r="S73" s="2"/>
    </row>
    <row r="74" spans="1:19" ht="15" customHeight="1" x14ac:dyDescent="0.3">
      <c r="A74" s="12">
        <v>3.1</v>
      </c>
      <c r="B74" s="2" t="s">
        <v>161</v>
      </c>
      <c r="C74" s="2" t="s">
        <v>21</v>
      </c>
      <c r="D74" s="2" t="s">
        <v>357</v>
      </c>
      <c r="E74" s="2"/>
      <c r="F74" s="2" t="s">
        <v>323</v>
      </c>
      <c r="G74" s="2">
        <v>4</v>
      </c>
      <c r="H74" s="2" t="s">
        <v>395</v>
      </c>
      <c r="I74" s="2"/>
      <c r="J74" s="29"/>
      <c r="K74" s="12"/>
      <c r="L74" s="12">
        <v>200</v>
      </c>
      <c r="M74" s="12"/>
      <c r="N74" s="12">
        <f t="shared" si="7"/>
        <v>800</v>
      </c>
      <c r="O74" s="47"/>
      <c r="P74" s="2"/>
      <c r="Q74" s="2"/>
      <c r="R74" s="2"/>
      <c r="S74" s="2"/>
    </row>
    <row r="75" spans="1:19" ht="15" customHeight="1" x14ac:dyDescent="0.3">
      <c r="A75" s="12">
        <v>3.11</v>
      </c>
      <c r="B75" s="2" t="s">
        <v>161</v>
      </c>
      <c r="C75" s="2" t="s">
        <v>163</v>
      </c>
      <c r="D75" s="2" t="s">
        <v>357</v>
      </c>
      <c r="E75" s="2"/>
      <c r="F75" s="2" t="s">
        <v>324</v>
      </c>
      <c r="G75" s="2">
        <v>1</v>
      </c>
      <c r="H75" s="2" t="s">
        <v>395</v>
      </c>
      <c r="I75" s="2"/>
      <c r="J75" s="29"/>
      <c r="K75" s="12"/>
      <c r="L75" s="12">
        <v>185.64</v>
      </c>
      <c r="M75" s="12"/>
      <c r="N75" s="12">
        <f t="shared" si="7"/>
        <v>185.64</v>
      </c>
      <c r="O75" s="47"/>
      <c r="P75" s="2"/>
      <c r="Q75" s="2"/>
      <c r="R75" s="2"/>
      <c r="S75" s="2"/>
    </row>
    <row r="76" spans="1:19" ht="15" customHeight="1" x14ac:dyDescent="0.3">
      <c r="A76" s="12">
        <v>3.12</v>
      </c>
      <c r="B76" s="2" t="s">
        <v>161</v>
      </c>
      <c r="C76" s="2" t="s">
        <v>21</v>
      </c>
      <c r="D76" s="2" t="s">
        <v>357</v>
      </c>
      <c r="E76" s="2"/>
      <c r="F76" s="2" t="s">
        <v>325</v>
      </c>
      <c r="G76" s="2">
        <v>1</v>
      </c>
      <c r="H76" s="2" t="s">
        <v>395</v>
      </c>
      <c r="I76" s="2"/>
      <c r="J76" s="29"/>
      <c r="K76" s="12"/>
      <c r="L76" s="12">
        <v>121.54</v>
      </c>
      <c r="M76" s="12"/>
      <c r="N76" s="12">
        <f t="shared" si="7"/>
        <v>121.54</v>
      </c>
      <c r="O76" s="47"/>
      <c r="P76" s="2"/>
      <c r="Q76" s="2"/>
      <c r="R76" s="2"/>
      <c r="S76" s="2"/>
    </row>
    <row r="77" spans="1:19" ht="15" customHeight="1" x14ac:dyDescent="0.3">
      <c r="A77" s="12">
        <v>3.13</v>
      </c>
      <c r="B77" s="2" t="s">
        <v>161</v>
      </c>
      <c r="C77" s="2" t="s">
        <v>21</v>
      </c>
      <c r="D77" s="2" t="s">
        <v>357</v>
      </c>
      <c r="E77" s="2"/>
      <c r="F77" s="2" t="s">
        <v>326</v>
      </c>
      <c r="G77" s="2">
        <v>1</v>
      </c>
      <c r="H77" s="2" t="s">
        <v>395</v>
      </c>
      <c r="I77" s="2"/>
      <c r="J77" s="29"/>
      <c r="K77" s="12"/>
      <c r="L77" s="12">
        <v>150</v>
      </c>
      <c r="M77" s="12"/>
      <c r="N77" s="12">
        <f t="shared" si="7"/>
        <v>150</v>
      </c>
      <c r="O77" s="47"/>
      <c r="P77" s="2"/>
      <c r="Q77" s="2"/>
      <c r="R77" s="2"/>
      <c r="S77" s="2"/>
    </row>
    <row r="78" spans="1:19" ht="15" customHeight="1" x14ac:dyDescent="0.3">
      <c r="A78" s="12">
        <v>3.14</v>
      </c>
      <c r="B78" s="2" t="s">
        <v>161</v>
      </c>
      <c r="C78" s="2" t="s">
        <v>21</v>
      </c>
      <c r="D78" s="2" t="s">
        <v>357</v>
      </c>
      <c r="E78" s="2"/>
      <c r="F78" s="2" t="s">
        <v>459</v>
      </c>
      <c r="G78" s="2">
        <v>1</v>
      </c>
      <c r="H78" s="2" t="s">
        <v>395</v>
      </c>
      <c r="I78" s="2"/>
      <c r="J78" s="3"/>
      <c r="K78" s="12"/>
      <c r="L78" s="12">
        <v>1.5</v>
      </c>
      <c r="M78" s="12"/>
      <c r="N78" s="12">
        <v>350</v>
      </c>
      <c r="O78" s="47"/>
      <c r="P78" s="2"/>
      <c r="Q78" s="2"/>
      <c r="R78" s="2"/>
      <c r="S78" s="2"/>
    </row>
    <row r="79" spans="1:19" ht="15" customHeight="1" x14ac:dyDescent="0.3">
      <c r="A79" s="12">
        <v>3.15</v>
      </c>
      <c r="B79" s="2" t="s">
        <v>161</v>
      </c>
      <c r="C79" s="2" t="s">
        <v>21</v>
      </c>
      <c r="D79" s="2" t="s">
        <v>357</v>
      </c>
      <c r="E79" s="2"/>
      <c r="F79" s="2" t="s">
        <v>327</v>
      </c>
      <c r="G79" s="2">
        <v>10</v>
      </c>
      <c r="H79" s="2"/>
      <c r="I79" s="2"/>
      <c r="J79" s="3"/>
      <c r="K79" s="12"/>
      <c r="L79" s="12">
        <v>35</v>
      </c>
      <c r="M79" s="12"/>
      <c r="N79" s="12">
        <f>G79*L79</f>
        <v>350</v>
      </c>
      <c r="O79" s="47"/>
      <c r="P79" s="2"/>
      <c r="Q79" s="2"/>
      <c r="R79" s="2"/>
      <c r="S79" s="2"/>
    </row>
    <row r="80" spans="1:19" ht="15" customHeight="1" x14ac:dyDescent="0.3">
      <c r="A80" s="12">
        <v>3.16</v>
      </c>
      <c r="B80" s="2" t="s">
        <v>161</v>
      </c>
      <c r="C80" s="2" t="s">
        <v>21</v>
      </c>
      <c r="D80" s="2" t="s">
        <v>357</v>
      </c>
      <c r="E80" s="2"/>
      <c r="F80" s="2" t="s">
        <v>328</v>
      </c>
      <c r="G80" s="2">
        <v>1</v>
      </c>
      <c r="H80" s="2"/>
      <c r="I80" s="2"/>
      <c r="J80" s="3"/>
      <c r="K80" s="12"/>
      <c r="L80" s="12">
        <v>500</v>
      </c>
      <c r="M80" s="12"/>
      <c r="N80" s="12">
        <f>G80*L80</f>
        <v>500</v>
      </c>
      <c r="O80" s="47"/>
      <c r="P80" s="2"/>
      <c r="Q80" s="2"/>
      <c r="R80" s="2"/>
      <c r="S80" s="2"/>
    </row>
    <row r="81" spans="1:19" ht="15" customHeight="1" x14ac:dyDescent="0.3">
      <c r="A81" s="12">
        <v>3.17</v>
      </c>
      <c r="B81" s="2" t="s">
        <v>161</v>
      </c>
      <c r="C81" s="2" t="s">
        <v>21</v>
      </c>
      <c r="D81" s="2" t="s">
        <v>357</v>
      </c>
      <c r="E81" s="2"/>
      <c r="F81" s="2" t="s">
        <v>329</v>
      </c>
      <c r="G81" s="2">
        <v>1</v>
      </c>
      <c r="H81" s="2"/>
      <c r="I81" s="2"/>
      <c r="J81" s="3"/>
      <c r="K81" s="12"/>
      <c r="L81" s="12">
        <v>50</v>
      </c>
      <c r="M81" s="12"/>
      <c r="N81" s="12">
        <f>G81*L81</f>
        <v>50</v>
      </c>
      <c r="O81" s="47"/>
      <c r="P81" s="2"/>
      <c r="Q81" s="2"/>
      <c r="R81" s="2"/>
      <c r="S81" s="2"/>
    </row>
    <row r="82" spans="1:19" ht="15" customHeight="1" x14ac:dyDescent="0.3">
      <c r="A82" s="12">
        <v>3.18</v>
      </c>
      <c r="B82" s="2" t="s">
        <v>161</v>
      </c>
      <c r="C82" s="2" t="s">
        <v>21</v>
      </c>
      <c r="D82" s="21" t="s">
        <v>253</v>
      </c>
      <c r="E82" s="21"/>
      <c r="F82" s="21" t="s">
        <v>254</v>
      </c>
      <c r="G82" s="2">
        <v>1</v>
      </c>
      <c r="H82" s="2" t="s">
        <v>255</v>
      </c>
      <c r="I82" s="2"/>
      <c r="J82" s="29"/>
      <c r="K82" s="12"/>
      <c r="L82" s="41">
        <v>100</v>
      </c>
      <c r="M82" s="12"/>
      <c r="N82" s="12">
        <f>G82*L82</f>
        <v>100</v>
      </c>
      <c r="O82" s="47"/>
      <c r="P82" s="2"/>
      <c r="Q82" s="2"/>
      <c r="R82" s="2"/>
      <c r="S82" s="2"/>
    </row>
    <row r="83" spans="1:19" ht="15" customHeight="1" x14ac:dyDescent="0.3">
      <c r="A83" s="12">
        <v>3.19</v>
      </c>
      <c r="B83" s="2" t="s">
        <v>161</v>
      </c>
      <c r="C83" s="2" t="s">
        <v>163</v>
      </c>
      <c r="D83" s="2" t="s">
        <v>259</v>
      </c>
      <c r="E83" s="2"/>
      <c r="F83" s="2" t="s">
        <v>164</v>
      </c>
      <c r="G83" s="2">
        <v>2</v>
      </c>
      <c r="H83" s="2" t="s">
        <v>260</v>
      </c>
      <c r="I83" s="6" t="s">
        <v>306</v>
      </c>
      <c r="J83" s="3"/>
      <c r="K83" s="12"/>
      <c r="L83" s="12"/>
      <c r="M83" s="12">
        <v>4260.3599999999997</v>
      </c>
      <c r="N83" s="12">
        <v>5069.84</v>
      </c>
      <c r="O83" s="47"/>
      <c r="P83" s="2"/>
      <c r="Q83" s="2"/>
      <c r="R83" s="2"/>
      <c r="S83" s="2"/>
    </row>
    <row r="84" spans="1:19" ht="15" customHeight="1" x14ac:dyDescent="0.3">
      <c r="A84" s="12">
        <v>3.2</v>
      </c>
      <c r="B84" s="2" t="s">
        <v>161</v>
      </c>
      <c r="C84" s="2" t="s">
        <v>163</v>
      </c>
      <c r="D84" s="21" t="s">
        <v>248</v>
      </c>
      <c r="E84" s="21"/>
      <c r="F84" s="21" t="s">
        <v>247</v>
      </c>
      <c r="G84" s="2">
        <v>1</v>
      </c>
      <c r="H84" s="2" t="s">
        <v>277</v>
      </c>
      <c r="I84" s="2"/>
      <c r="J84" s="29"/>
      <c r="K84" s="12"/>
      <c r="L84" s="41">
        <v>350</v>
      </c>
      <c r="M84" s="12"/>
      <c r="N84" s="12">
        <f>G84*L84</f>
        <v>350</v>
      </c>
      <c r="O84" s="47"/>
      <c r="P84" s="2"/>
      <c r="Q84" s="2"/>
      <c r="R84" s="2"/>
      <c r="S84" s="2"/>
    </row>
    <row r="85" spans="1:19" ht="15" hidden="1" customHeight="1" outlineLevel="1" x14ac:dyDescent="0.3">
      <c r="A85" s="12">
        <v>3.21</v>
      </c>
      <c r="B85" s="2" t="s">
        <v>161</v>
      </c>
      <c r="C85" s="2"/>
      <c r="D85" s="2"/>
      <c r="E85" s="2"/>
      <c r="F85" s="2" t="s">
        <v>278</v>
      </c>
      <c r="G85" s="2"/>
      <c r="H85" s="2" t="s">
        <v>359</v>
      </c>
      <c r="I85" s="2"/>
      <c r="J85" s="29"/>
      <c r="K85" s="12"/>
      <c r="L85" s="12"/>
      <c r="M85" s="12"/>
      <c r="N85" s="12"/>
      <c r="O85" s="47"/>
      <c r="P85" s="2"/>
      <c r="Q85" s="2"/>
      <c r="R85" s="2"/>
      <c r="S85" s="2"/>
    </row>
    <row r="86" spans="1:19" ht="15" hidden="1" customHeight="1" outlineLevel="1" x14ac:dyDescent="0.3">
      <c r="A86" s="12">
        <v>3.22</v>
      </c>
      <c r="B86" s="2" t="s">
        <v>161</v>
      </c>
      <c r="C86" s="2"/>
      <c r="D86" s="2"/>
      <c r="E86" s="2"/>
      <c r="F86" s="2" t="s">
        <v>279</v>
      </c>
      <c r="G86" s="2"/>
      <c r="H86" s="2"/>
      <c r="I86" s="2"/>
      <c r="J86" s="29"/>
      <c r="K86" s="12"/>
      <c r="L86" s="12"/>
      <c r="M86" s="12"/>
      <c r="N86" s="12"/>
      <c r="O86" s="47"/>
      <c r="P86" s="2"/>
      <c r="Q86" s="2"/>
      <c r="R86" s="2"/>
      <c r="S86" s="2"/>
    </row>
    <row r="87" spans="1:19" ht="15" hidden="1" customHeight="1" outlineLevel="1" x14ac:dyDescent="0.3">
      <c r="A87" s="12">
        <v>3.23</v>
      </c>
      <c r="B87" s="2" t="s">
        <v>161</v>
      </c>
      <c r="C87" s="2"/>
      <c r="D87" s="2"/>
      <c r="E87" s="2"/>
      <c r="F87" s="2" t="s">
        <v>280</v>
      </c>
      <c r="G87" s="2"/>
      <c r="H87" s="2"/>
      <c r="I87" s="2"/>
      <c r="J87" s="29"/>
      <c r="K87" s="12"/>
      <c r="L87" s="12"/>
      <c r="M87" s="12"/>
      <c r="N87" s="12"/>
      <c r="O87" s="47"/>
      <c r="P87" s="2"/>
      <c r="Q87" s="2"/>
      <c r="R87" s="2"/>
      <c r="S87" s="2"/>
    </row>
    <row r="88" spans="1:19" ht="15" hidden="1" customHeight="1" outlineLevel="1" x14ac:dyDescent="0.3">
      <c r="A88" s="12">
        <v>3.24</v>
      </c>
      <c r="B88" s="2" t="s">
        <v>161</v>
      </c>
      <c r="C88" s="2"/>
      <c r="D88" s="2"/>
      <c r="E88" s="2"/>
      <c r="F88" s="2" t="s">
        <v>281</v>
      </c>
      <c r="G88" s="2"/>
      <c r="H88" s="2"/>
      <c r="I88" s="2"/>
      <c r="J88" s="29"/>
      <c r="K88" s="12"/>
      <c r="L88" s="12"/>
      <c r="M88" s="12"/>
      <c r="N88" s="12"/>
      <c r="O88" s="47"/>
      <c r="P88" s="2"/>
      <c r="Q88" s="2"/>
      <c r="R88" s="2"/>
      <c r="S88" s="2"/>
    </row>
    <row r="89" spans="1:19" ht="15" hidden="1" customHeight="1" outlineLevel="1" x14ac:dyDescent="0.3">
      <c r="A89" s="12">
        <v>3.2500000000000102</v>
      </c>
      <c r="B89" s="2" t="s">
        <v>161</v>
      </c>
      <c r="C89" s="2"/>
      <c r="D89" s="2"/>
      <c r="E89" s="2"/>
      <c r="F89" s="2" t="s">
        <v>282</v>
      </c>
      <c r="G89" s="2"/>
      <c r="H89" s="2"/>
      <c r="I89" s="2"/>
      <c r="J89" s="29"/>
      <c r="K89" s="12"/>
      <c r="L89" s="12"/>
      <c r="M89" s="12"/>
      <c r="N89" s="12"/>
      <c r="O89" s="47"/>
      <c r="P89" s="2"/>
      <c r="Q89" s="2"/>
      <c r="R89" s="2"/>
      <c r="S89" s="2"/>
    </row>
    <row r="90" spans="1:19" ht="15" hidden="1" customHeight="1" outlineLevel="1" x14ac:dyDescent="0.3">
      <c r="A90" s="12">
        <v>3.26000000000001</v>
      </c>
      <c r="B90" s="2" t="s">
        <v>161</v>
      </c>
      <c r="C90" s="2"/>
      <c r="D90" s="2"/>
      <c r="E90" s="2"/>
      <c r="F90" s="2" t="s">
        <v>283</v>
      </c>
      <c r="G90" s="2"/>
      <c r="H90" s="2"/>
      <c r="I90" s="2"/>
      <c r="J90" s="29"/>
      <c r="K90" s="12"/>
      <c r="L90" s="12"/>
      <c r="M90" s="12"/>
      <c r="N90" s="12"/>
      <c r="O90" s="47"/>
      <c r="P90" s="2"/>
      <c r="Q90" s="2"/>
      <c r="R90" s="2"/>
      <c r="S90" s="2"/>
    </row>
    <row r="91" spans="1:19" ht="15" hidden="1" customHeight="1" outlineLevel="1" x14ac:dyDescent="0.3">
      <c r="A91" s="12">
        <v>3.2700000000000098</v>
      </c>
      <c r="B91" s="2" t="s">
        <v>161</v>
      </c>
      <c r="C91" s="2"/>
      <c r="D91" s="2"/>
      <c r="E91" s="2"/>
      <c r="F91" s="2" t="s">
        <v>284</v>
      </c>
      <c r="G91" s="2"/>
      <c r="H91" s="2"/>
      <c r="I91" s="2"/>
      <c r="J91" s="29"/>
      <c r="K91" s="12"/>
      <c r="L91" s="12"/>
      <c r="M91" s="12"/>
      <c r="N91" s="12"/>
      <c r="O91" s="47"/>
      <c r="P91" s="2"/>
      <c r="Q91" s="2"/>
      <c r="R91" s="2"/>
      <c r="S91" s="2"/>
    </row>
    <row r="92" spans="1:19" ht="15" hidden="1" customHeight="1" outlineLevel="1" x14ac:dyDescent="0.3">
      <c r="A92" s="12">
        <v>3.28000000000001</v>
      </c>
      <c r="B92" s="2" t="s">
        <v>161</v>
      </c>
      <c r="C92" s="2"/>
      <c r="D92" s="2"/>
      <c r="E92" s="2"/>
      <c r="F92" s="2" t="s">
        <v>285</v>
      </c>
      <c r="G92" s="2"/>
      <c r="H92" s="2"/>
      <c r="I92" s="2"/>
      <c r="J92" s="29"/>
      <c r="K92" s="12"/>
      <c r="L92" s="12"/>
      <c r="M92" s="12"/>
      <c r="N92" s="12"/>
      <c r="O92" s="47"/>
      <c r="P92" s="2"/>
      <c r="Q92" s="2"/>
      <c r="R92" s="2"/>
      <c r="S92" s="2"/>
    </row>
    <row r="93" spans="1:19" ht="15" hidden="1" customHeight="1" outlineLevel="1" x14ac:dyDescent="0.3">
      <c r="A93" s="12">
        <v>3.2900000000000098</v>
      </c>
      <c r="B93" s="2" t="s">
        <v>161</v>
      </c>
      <c r="C93" s="2"/>
      <c r="D93" s="2"/>
      <c r="E93" s="2"/>
      <c r="F93" s="2" t="s">
        <v>286</v>
      </c>
      <c r="G93" s="2"/>
      <c r="H93" s="2"/>
      <c r="I93" s="2"/>
      <c r="J93" s="29"/>
      <c r="K93" s="12"/>
      <c r="L93" s="12"/>
      <c r="M93" s="12"/>
      <c r="N93" s="12"/>
      <c r="O93" s="47"/>
      <c r="P93" s="2"/>
      <c r="Q93" s="2"/>
      <c r="R93" s="2"/>
      <c r="S93" s="2"/>
    </row>
    <row r="94" spans="1:19" ht="15" customHeight="1" collapsed="1" x14ac:dyDescent="0.3">
      <c r="A94" s="12">
        <v>3.30000000000001</v>
      </c>
      <c r="B94" s="2" t="s">
        <v>161</v>
      </c>
      <c r="C94" s="2" t="s">
        <v>165</v>
      </c>
      <c r="D94" s="2" t="s">
        <v>251</v>
      </c>
      <c r="E94" s="2"/>
      <c r="F94" s="6" t="s">
        <v>358</v>
      </c>
      <c r="G94" s="6">
        <v>1</v>
      </c>
      <c r="H94" s="6"/>
      <c r="I94" s="6" t="s">
        <v>252</v>
      </c>
      <c r="J94" s="30"/>
      <c r="K94" s="38"/>
      <c r="L94" s="41">
        <v>1500</v>
      </c>
      <c r="M94" s="12"/>
      <c r="N94" s="12">
        <f t="shared" ref="N94:N108" si="8">G94*L94</f>
        <v>1500</v>
      </c>
      <c r="O94" s="47"/>
      <c r="P94" s="2"/>
      <c r="Q94" s="2"/>
      <c r="R94" s="2"/>
      <c r="S94" s="2"/>
    </row>
    <row r="95" spans="1:19" ht="15" hidden="1" customHeight="1" outlineLevel="1" x14ac:dyDescent="0.3">
      <c r="A95" s="12">
        <v>3.3100000000000098</v>
      </c>
      <c r="B95" s="2" t="s">
        <v>161</v>
      </c>
      <c r="C95" s="2"/>
      <c r="D95" s="2"/>
      <c r="E95" s="2"/>
      <c r="F95" s="2" t="s">
        <v>235</v>
      </c>
      <c r="G95" s="2">
        <v>2</v>
      </c>
      <c r="H95" s="2" t="s">
        <v>234</v>
      </c>
      <c r="I95" s="2"/>
      <c r="J95" s="29" t="s">
        <v>233</v>
      </c>
      <c r="K95" s="12"/>
      <c r="L95" s="37">
        <v>1100</v>
      </c>
      <c r="M95" s="12"/>
      <c r="N95" s="12">
        <f t="shared" si="8"/>
        <v>2200</v>
      </c>
      <c r="O95" s="47"/>
      <c r="P95" s="2"/>
      <c r="Q95" s="2"/>
      <c r="R95" s="2"/>
      <c r="S95" s="2"/>
    </row>
    <row r="96" spans="1:19" ht="15" hidden="1" customHeight="1" outlineLevel="1" x14ac:dyDescent="0.3">
      <c r="A96" s="12">
        <v>3.3200000000000101</v>
      </c>
      <c r="B96" s="2" t="s">
        <v>161</v>
      </c>
      <c r="C96" s="2"/>
      <c r="D96" s="2"/>
      <c r="E96" s="2"/>
      <c r="F96" s="2" t="s">
        <v>238</v>
      </c>
      <c r="G96" s="2">
        <v>2</v>
      </c>
      <c r="H96" s="2" t="s">
        <v>237</v>
      </c>
      <c r="I96" s="2" t="s">
        <v>192</v>
      </c>
      <c r="J96" s="29" t="s">
        <v>236</v>
      </c>
      <c r="K96" s="12"/>
      <c r="L96" s="37">
        <v>1298</v>
      </c>
      <c r="M96" s="12"/>
      <c r="N96" s="12">
        <f t="shared" si="8"/>
        <v>2596</v>
      </c>
      <c r="O96" s="47"/>
      <c r="P96" s="2"/>
      <c r="Q96" s="2"/>
      <c r="R96" s="2"/>
      <c r="S96" s="2"/>
    </row>
    <row r="97" spans="1:19" ht="15" hidden="1" customHeight="1" outlineLevel="1" x14ac:dyDescent="0.3">
      <c r="A97" s="12">
        <v>3.3300000000000098</v>
      </c>
      <c r="B97" s="2" t="s">
        <v>161</v>
      </c>
      <c r="C97" s="2"/>
      <c r="D97" s="2"/>
      <c r="E97" s="2"/>
      <c r="F97" s="2" t="s">
        <v>240</v>
      </c>
      <c r="G97" s="2">
        <v>1</v>
      </c>
      <c r="H97" s="2" t="s">
        <v>234</v>
      </c>
      <c r="I97" s="2"/>
      <c r="J97" s="29" t="s">
        <v>239</v>
      </c>
      <c r="K97" s="12"/>
      <c r="L97" s="37">
        <v>1000</v>
      </c>
      <c r="M97" s="12"/>
      <c r="N97" s="12">
        <f t="shared" si="8"/>
        <v>1000</v>
      </c>
      <c r="O97" s="47"/>
      <c r="P97" s="2"/>
      <c r="Q97" s="2"/>
      <c r="R97" s="2"/>
      <c r="S97" s="2"/>
    </row>
    <row r="98" spans="1:19" ht="15" hidden="1" customHeight="1" outlineLevel="1" x14ac:dyDescent="0.3">
      <c r="A98" s="12">
        <v>3.3400000000000101</v>
      </c>
      <c r="B98" s="2" t="s">
        <v>161</v>
      </c>
      <c r="C98" s="2"/>
      <c r="D98" s="2"/>
      <c r="E98" s="2"/>
      <c r="F98" s="2" t="s">
        <v>241</v>
      </c>
      <c r="G98" s="2">
        <v>1</v>
      </c>
      <c r="H98" s="2" t="s">
        <v>243</v>
      </c>
      <c r="I98" s="2" t="s">
        <v>244</v>
      </c>
      <c r="J98" s="29" t="s">
        <v>242</v>
      </c>
      <c r="K98" s="12"/>
      <c r="L98" s="37">
        <v>299</v>
      </c>
      <c r="M98" s="12"/>
      <c r="N98" s="12">
        <f t="shared" si="8"/>
        <v>299</v>
      </c>
      <c r="O98" s="47"/>
      <c r="P98" s="2"/>
      <c r="Q98" s="2"/>
      <c r="R98" s="2"/>
      <c r="S98" s="2"/>
    </row>
    <row r="99" spans="1:19" ht="15" hidden="1" customHeight="1" outlineLevel="1" x14ac:dyDescent="0.3">
      <c r="A99" s="12">
        <v>3.3500000000000099</v>
      </c>
      <c r="B99" s="2" t="s">
        <v>161</v>
      </c>
      <c r="C99" s="2"/>
      <c r="D99" s="2"/>
      <c r="E99" s="2"/>
      <c r="F99" s="2" t="s">
        <v>245</v>
      </c>
      <c r="G99" s="2">
        <v>1</v>
      </c>
      <c r="H99" s="2" t="s">
        <v>192</v>
      </c>
      <c r="I99" s="2" t="s">
        <v>192</v>
      </c>
      <c r="J99" s="29" t="s">
        <v>246</v>
      </c>
      <c r="K99" s="12"/>
      <c r="L99" s="37">
        <v>139</v>
      </c>
      <c r="M99" s="12"/>
      <c r="N99" s="12">
        <f t="shared" si="8"/>
        <v>139</v>
      </c>
      <c r="O99" s="47"/>
      <c r="P99" s="2"/>
      <c r="Q99" s="2"/>
      <c r="R99" s="2"/>
      <c r="S99" s="2"/>
    </row>
    <row r="100" spans="1:19" ht="15" hidden="1" customHeight="1" outlineLevel="1" x14ac:dyDescent="0.3">
      <c r="A100" s="12">
        <v>3.3600000000000101</v>
      </c>
      <c r="B100" s="2" t="s">
        <v>161</v>
      </c>
      <c r="C100" s="2"/>
      <c r="D100" s="2"/>
      <c r="E100" s="2"/>
      <c r="F100" s="2" t="s">
        <v>307</v>
      </c>
      <c r="G100" s="2">
        <v>1</v>
      </c>
      <c r="H100" s="2" t="s">
        <v>308</v>
      </c>
      <c r="I100" s="2" t="s">
        <v>192</v>
      </c>
      <c r="J100" s="29" t="s">
        <v>309</v>
      </c>
      <c r="K100" s="12"/>
      <c r="L100" s="37">
        <v>655</v>
      </c>
      <c r="M100" s="12"/>
      <c r="N100" s="12">
        <f t="shared" si="8"/>
        <v>655</v>
      </c>
      <c r="O100" s="47"/>
      <c r="P100" s="2"/>
      <c r="Q100" s="2"/>
      <c r="R100" s="2"/>
      <c r="S100" s="2"/>
    </row>
    <row r="101" spans="1:19" ht="15" hidden="1" customHeight="1" outlineLevel="1" x14ac:dyDescent="0.3">
      <c r="A101" s="12">
        <v>3.3700000000000099</v>
      </c>
      <c r="B101" s="2" t="s">
        <v>161</v>
      </c>
      <c r="C101" s="2"/>
      <c r="D101" s="2"/>
      <c r="E101" s="2"/>
      <c r="F101" s="2" t="s">
        <v>310</v>
      </c>
      <c r="G101" s="2">
        <v>2</v>
      </c>
      <c r="H101" s="2" t="s">
        <v>311</v>
      </c>
      <c r="I101" s="2" t="s">
        <v>192</v>
      </c>
      <c r="J101" s="29" t="s">
        <v>312</v>
      </c>
      <c r="K101" s="12"/>
      <c r="L101" s="37">
        <v>29</v>
      </c>
      <c r="M101" s="12"/>
      <c r="N101" s="12">
        <f t="shared" si="8"/>
        <v>58</v>
      </c>
      <c r="O101" s="47"/>
      <c r="P101" s="2"/>
      <c r="Q101" s="2"/>
      <c r="R101" s="2"/>
      <c r="S101" s="2"/>
    </row>
    <row r="102" spans="1:19" ht="15" hidden="1" customHeight="1" outlineLevel="1" x14ac:dyDescent="0.3">
      <c r="A102" s="12">
        <v>3.3800000000000101</v>
      </c>
      <c r="B102" s="2" t="s">
        <v>161</v>
      </c>
      <c r="C102" s="2"/>
      <c r="D102" s="2"/>
      <c r="E102" s="2"/>
      <c r="F102" s="2" t="s">
        <v>313</v>
      </c>
      <c r="G102" s="2">
        <v>1</v>
      </c>
      <c r="H102" s="2" t="s">
        <v>319</v>
      </c>
      <c r="I102" s="2" t="s">
        <v>192</v>
      </c>
      <c r="J102" s="29" t="s">
        <v>320</v>
      </c>
      <c r="K102" s="12"/>
      <c r="L102" s="37">
        <v>58</v>
      </c>
      <c r="M102" s="12"/>
      <c r="N102" s="12">
        <f t="shared" si="8"/>
        <v>58</v>
      </c>
      <c r="O102" s="47"/>
      <c r="P102" s="2"/>
      <c r="Q102" s="2"/>
      <c r="R102" s="2"/>
      <c r="S102" s="2"/>
    </row>
    <row r="103" spans="1:19" ht="15" hidden="1" customHeight="1" outlineLevel="1" x14ac:dyDescent="0.3">
      <c r="A103" s="12">
        <v>3.3900000000000099</v>
      </c>
      <c r="B103" s="2" t="s">
        <v>161</v>
      </c>
      <c r="C103" s="2"/>
      <c r="D103" s="2"/>
      <c r="E103" s="2"/>
      <c r="F103" s="2" t="s">
        <v>314</v>
      </c>
      <c r="G103" s="2">
        <v>1</v>
      </c>
      <c r="H103" s="2"/>
      <c r="I103" s="2"/>
      <c r="J103" s="29" t="s">
        <v>180</v>
      </c>
      <c r="K103" s="12"/>
      <c r="L103" s="42">
        <v>200</v>
      </c>
      <c r="M103" s="12"/>
      <c r="N103" s="12">
        <f t="shared" si="8"/>
        <v>200</v>
      </c>
      <c r="O103" s="47"/>
      <c r="P103" s="2"/>
      <c r="Q103" s="2"/>
      <c r="R103" s="2"/>
      <c r="S103" s="2"/>
    </row>
    <row r="104" spans="1:19" ht="15" hidden="1" customHeight="1" outlineLevel="1" x14ac:dyDescent="0.3">
      <c r="A104" s="12">
        <v>3.4000000000000101</v>
      </c>
      <c r="B104" s="2" t="s">
        <v>161</v>
      </c>
      <c r="C104" s="2"/>
      <c r="D104" s="2"/>
      <c r="E104" s="2"/>
      <c r="F104" s="2" t="s">
        <v>315</v>
      </c>
      <c r="G104" s="2">
        <v>1</v>
      </c>
      <c r="H104" s="2"/>
      <c r="I104" s="2"/>
      <c r="J104" s="29" t="s">
        <v>180</v>
      </c>
      <c r="K104" s="12"/>
      <c r="L104" s="41">
        <v>60</v>
      </c>
      <c r="M104" s="12"/>
      <c r="N104" s="12">
        <f t="shared" si="8"/>
        <v>60</v>
      </c>
      <c r="O104" s="47"/>
      <c r="P104" s="2"/>
      <c r="Q104" s="2"/>
      <c r="R104" s="2"/>
      <c r="S104" s="2"/>
    </row>
    <row r="105" spans="1:19" ht="15" hidden="1" customHeight="1" outlineLevel="1" x14ac:dyDescent="0.3">
      <c r="A105" s="12">
        <v>3.4100000000000099</v>
      </c>
      <c r="B105" s="2" t="s">
        <v>161</v>
      </c>
      <c r="C105" s="2"/>
      <c r="D105" s="2"/>
      <c r="E105" s="2"/>
      <c r="F105" s="2" t="s">
        <v>316</v>
      </c>
      <c r="G105" s="2">
        <v>1</v>
      </c>
      <c r="H105" s="2"/>
      <c r="I105" s="2"/>
      <c r="J105" s="29" t="s">
        <v>180</v>
      </c>
      <c r="K105" s="12"/>
      <c r="L105" s="41">
        <v>100</v>
      </c>
      <c r="M105" s="12"/>
      <c r="N105" s="12">
        <f t="shared" si="8"/>
        <v>100</v>
      </c>
      <c r="O105" s="47"/>
      <c r="P105" s="2"/>
      <c r="Q105" s="2"/>
      <c r="R105" s="2"/>
      <c r="S105" s="2"/>
    </row>
    <row r="106" spans="1:19" ht="15" hidden="1" customHeight="1" outlineLevel="1" x14ac:dyDescent="0.3">
      <c r="A106" s="12">
        <v>3.4200000000000101</v>
      </c>
      <c r="B106" s="2" t="s">
        <v>161</v>
      </c>
      <c r="C106" s="2"/>
      <c r="D106" s="2"/>
      <c r="E106" s="2"/>
      <c r="F106" s="2" t="s">
        <v>317</v>
      </c>
      <c r="G106" s="2">
        <v>4</v>
      </c>
      <c r="H106" s="2"/>
      <c r="I106" s="2"/>
      <c r="J106" s="29" t="s">
        <v>180</v>
      </c>
      <c r="K106" s="12"/>
      <c r="L106" s="41">
        <v>100</v>
      </c>
      <c r="M106" s="12"/>
      <c r="N106" s="12">
        <f t="shared" si="8"/>
        <v>400</v>
      </c>
      <c r="O106" s="47"/>
      <c r="P106" s="2"/>
      <c r="Q106" s="2"/>
      <c r="R106" s="2"/>
      <c r="S106" s="2"/>
    </row>
    <row r="107" spans="1:19" ht="15" hidden="1" customHeight="1" outlineLevel="1" x14ac:dyDescent="0.3">
      <c r="A107" s="12">
        <v>3.4300000000000099</v>
      </c>
      <c r="B107" s="2" t="s">
        <v>161</v>
      </c>
      <c r="C107" s="2"/>
      <c r="D107" s="2"/>
      <c r="E107" s="2"/>
      <c r="F107" s="2" t="s">
        <v>318</v>
      </c>
      <c r="G107" s="2">
        <v>4</v>
      </c>
      <c r="H107" s="2" t="s">
        <v>322</v>
      </c>
      <c r="I107" s="2" t="s">
        <v>264</v>
      </c>
      <c r="J107" s="29" t="s">
        <v>321</v>
      </c>
      <c r="K107" s="12"/>
      <c r="L107" s="37">
        <v>11.9</v>
      </c>
      <c r="M107" s="12"/>
      <c r="N107" s="12">
        <f t="shared" si="8"/>
        <v>47.6</v>
      </c>
      <c r="O107" s="47"/>
      <c r="P107" s="2"/>
      <c r="Q107" s="2"/>
      <c r="R107" s="2"/>
      <c r="S107" s="2"/>
    </row>
    <row r="108" spans="1:19" ht="15" customHeight="1" collapsed="1" x14ac:dyDescent="0.3">
      <c r="A108" s="12">
        <v>3.4400000000000102</v>
      </c>
      <c r="B108" s="2" t="s">
        <v>161</v>
      </c>
      <c r="C108" s="2" t="s">
        <v>163</v>
      </c>
      <c r="D108" s="2" t="s">
        <v>259</v>
      </c>
      <c r="E108" s="2"/>
      <c r="F108" s="2" t="s">
        <v>261</v>
      </c>
      <c r="G108" s="2">
        <v>1</v>
      </c>
      <c r="H108" s="2" t="s">
        <v>288</v>
      </c>
      <c r="I108" s="2" t="s">
        <v>263</v>
      </c>
      <c r="J108" s="3"/>
      <c r="K108" s="12"/>
      <c r="L108" s="41">
        <v>4156.74</v>
      </c>
      <c r="M108" s="12"/>
      <c r="N108" s="12">
        <f t="shared" si="8"/>
        <v>4156.74</v>
      </c>
      <c r="O108" s="47"/>
      <c r="P108" s="2"/>
      <c r="Q108" s="2"/>
      <c r="R108" s="2"/>
      <c r="S108" s="2"/>
    </row>
    <row r="109" spans="1:19" ht="15" customHeight="1" x14ac:dyDescent="0.3">
      <c r="A109" s="12">
        <v>3.4500000000000099</v>
      </c>
      <c r="B109" s="2" t="s">
        <v>161</v>
      </c>
      <c r="C109" s="2" t="s">
        <v>163</v>
      </c>
      <c r="D109" s="2" t="s">
        <v>248</v>
      </c>
      <c r="E109" s="2"/>
      <c r="F109" s="2" t="s">
        <v>262</v>
      </c>
      <c r="G109" s="2">
        <v>1</v>
      </c>
      <c r="H109" s="2"/>
      <c r="I109" s="2"/>
      <c r="J109" s="3"/>
      <c r="K109" s="12"/>
      <c r="L109" s="41">
        <v>500</v>
      </c>
      <c r="M109" s="12"/>
      <c r="N109" s="12"/>
      <c r="O109" s="47"/>
      <c r="P109" s="2"/>
      <c r="Q109" s="2"/>
      <c r="R109" s="2"/>
      <c r="S109" s="2"/>
    </row>
    <row r="110" spans="1:19" ht="15" customHeight="1" x14ac:dyDescent="0.3">
      <c r="A110" s="12">
        <v>3.4600000000000102</v>
      </c>
      <c r="B110" s="2" t="s">
        <v>161</v>
      </c>
      <c r="C110" s="2" t="s">
        <v>163</v>
      </c>
      <c r="D110" s="2" t="s">
        <v>251</v>
      </c>
      <c r="E110" s="2"/>
      <c r="F110" s="2" t="s">
        <v>276</v>
      </c>
      <c r="G110" s="2">
        <v>1</v>
      </c>
      <c r="H110" s="6" t="s">
        <v>287</v>
      </c>
      <c r="I110" s="2"/>
      <c r="J110" s="3"/>
      <c r="K110" s="12"/>
      <c r="L110" s="35"/>
      <c r="M110" s="12"/>
      <c r="N110" s="12"/>
      <c r="O110" s="47"/>
      <c r="P110" s="2"/>
      <c r="Q110" s="2"/>
      <c r="R110" s="2"/>
      <c r="S110" s="2"/>
    </row>
    <row r="111" spans="1:19" ht="15" customHeight="1" x14ac:dyDescent="0.3">
      <c r="A111" s="12">
        <v>3.47000000000001</v>
      </c>
      <c r="B111" s="2" t="s">
        <v>161</v>
      </c>
      <c r="C111" s="2" t="s">
        <v>163</v>
      </c>
      <c r="D111" s="2" t="s">
        <v>251</v>
      </c>
      <c r="E111" s="2"/>
      <c r="F111" s="2" t="s">
        <v>166</v>
      </c>
      <c r="G111" s="2">
        <v>1</v>
      </c>
      <c r="H111" s="2" t="s">
        <v>249</v>
      </c>
      <c r="I111" s="2" t="s">
        <v>250</v>
      </c>
      <c r="J111" s="29"/>
      <c r="K111" s="12">
        <v>5830</v>
      </c>
      <c r="L111" s="37">
        <f>5747.7+1190</f>
        <v>6937.7</v>
      </c>
      <c r="M111" s="12"/>
      <c r="N111" s="12">
        <f>G111*L111</f>
        <v>6937.7</v>
      </c>
      <c r="O111" s="47"/>
      <c r="P111" s="2"/>
      <c r="Q111" s="2"/>
      <c r="R111" s="2"/>
      <c r="S111" s="2"/>
    </row>
    <row r="112" spans="1:19" ht="30" customHeight="1" x14ac:dyDescent="0.3">
      <c r="A112" s="12">
        <v>4.01</v>
      </c>
      <c r="B112" s="3" t="s">
        <v>458</v>
      </c>
      <c r="C112" s="2" t="s">
        <v>21</v>
      </c>
      <c r="D112" s="18" t="s">
        <v>357</v>
      </c>
      <c r="E112" s="18" t="s">
        <v>6</v>
      </c>
      <c r="F112" s="18" t="s">
        <v>397</v>
      </c>
      <c r="G112" s="2">
        <v>20</v>
      </c>
      <c r="H112" s="2" t="s">
        <v>9</v>
      </c>
      <c r="I112" s="2" t="s">
        <v>346</v>
      </c>
      <c r="J112" s="27"/>
      <c r="K112" s="12"/>
      <c r="L112" s="35">
        <v>430</v>
      </c>
      <c r="M112" s="12"/>
      <c r="N112" s="35">
        <f>SUM(G112*L112)</f>
        <v>8600</v>
      </c>
      <c r="O112" s="47"/>
      <c r="P112" s="2"/>
      <c r="Q112" s="2"/>
      <c r="R112" s="2"/>
      <c r="S112" s="2"/>
    </row>
    <row r="113" spans="1:19" ht="30" customHeight="1" x14ac:dyDescent="0.3">
      <c r="A113" s="12">
        <v>4.0199999999999996</v>
      </c>
      <c r="B113" s="3" t="s">
        <v>458</v>
      </c>
      <c r="C113" s="2" t="s">
        <v>21</v>
      </c>
      <c r="D113" s="18" t="s">
        <v>357</v>
      </c>
      <c r="E113" s="18" t="s">
        <v>219</v>
      </c>
      <c r="F113" s="18" t="s">
        <v>403</v>
      </c>
      <c r="G113" s="2">
        <v>2</v>
      </c>
      <c r="H113" s="2"/>
      <c r="I113" s="2"/>
      <c r="J113" s="31" t="s">
        <v>400</v>
      </c>
      <c r="K113" s="12"/>
      <c r="L113" s="35">
        <v>133.28</v>
      </c>
      <c r="M113" s="12"/>
      <c r="N113" s="35">
        <f>SUM(G113*L113)</f>
        <v>266.56</v>
      </c>
      <c r="O113" s="47"/>
      <c r="P113" s="2"/>
      <c r="Q113" s="2"/>
      <c r="R113" s="2"/>
      <c r="S113" s="2"/>
    </row>
    <row r="114" spans="1:19" ht="30" customHeight="1" x14ac:dyDescent="0.3">
      <c r="A114" s="12">
        <v>4.03</v>
      </c>
      <c r="B114" s="3" t="s">
        <v>458</v>
      </c>
      <c r="C114" s="2" t="s">
        <v>21</v>
      </c>
      <c r="D114" s="21" t="s">
        <v>357</v>
      </c>
      <c r="E114" s="21" t="s">
        <v>157</v>
      </c>
      <c r="F114" s="21" t="s">
        <v>402</v>
      </c>
      <c r="G114" s="2">
        <v>1</v>
      </c>
      <c r="H114" s="2"/>
      <c r="I114" s="2"/>
      <c r="J114" s="31" t="s">
        <v>401</v>
      </c>
      <c r="K114" s="12"/>
      <c r="L114" s="35">
        <v>318.91000000000003</v>
      </c>
      <c r="M114" s="12"/>
      <c r="N114" s="35">
        <f>SUM(G114*L114)</f>
        <v>318.91000000000003</v>
      </c>
      <c r="O114" s="47"/>
      <c r="P114" s="2"/>
      <c r="Q114" s="2"/>
      <c r="R114" s="2"/>
      <c r="S114" s="2"/>
    </row>
    <row r="115" spans="1:19" ht="30" customHeight="1" x14ac:dyDescent="0.3">
      <c r="A115" s="12">
        <v>4.04</v>
      </c>
      <c r="B115" s="3" t="s">
        <v>458</v>
      </c>
      <c r="C115" s="2" t="s">
        <v>21</v>
      </c>
      <c r="D115" s="18" t="s">
        <v>357</v>
      </c>
      <c r="E115" s="18" t="s">
        <v>18</v>
      </c>
      <c r="F115" s="18" t="s">
        <v>454</v>
      </c>
      <c r="G115" s="2">
        <v>1</v>
      </c>
      <c r="H115" s="2" t="s">
        <v>446</v>
      </c>
      <c r="I115" s="2" t="s">
        <v>33</v>
      </c>
      <c r="J115" s="24" t="s">
        <v>301</v>
      </c>
      <c r="K115" s="38">
        <v>4522.28</v>
      </c>
      <c r="L115" s="38">
        <v>5381.51</v>
      </c>
      <c r="M115" s="12"/>
      <c r="N115" s="35">
        <f t="shared" ref="N115:N116" si="9">SUM(G115*L115)</f>
        <v>5381.51</v>
      </c>
      <c r="O115" s="47"/>
      <c r="P115" s="2"/>
      <c r="Q115" s="5"/>
      <c r="R115" s="2"/>
      <c r="S115" s="2"/>
    </row>
    <row r="116" spans="1:19" ht="30" customHeight="1" x14ac:dyDescent="0.3">
      <c r="A116" s="12">
        <v>4.05</v>
      </c>
      <c r="B116" s="3" t="s">
        <v>458</v>
      </c>
      <c r="C116" s="2" t="s">
        <v>21</v>
      </c>
      <c r="D116" s="18" t="s">
        <v>357</v>
      </c>
      <c r="E116" s="18" t="s">
        <v>18</v>
      </c>
      <c r="F116" s="18" t="s">
        <v>167</v>
      </c>
      <c r="G116" s="2">
        <v>1</v>
      </c>
      <c r="H116" s="2"/>
      <c r="I116" s="2" t="s">
        <v>33</v>
      </c>
      <c r="J116" s="24" t="s">
        <v>445</v>
      </c>
      <c r="K116" s="12"/>
      <c r="L116" s="12">
        <v>892.49</v>
      </c>
      <c r="M116" s="12"/>
      <c r="N116" s="35">
        <f t="shared" si="9"/>
        <v>892.49</v>
      </c>
      <c r="O116" s="47"/>
      <c r="P116" s="2"/>
      <c r="Q116" s="2"/>
      <c r="R116" s="2"/>
      <c r="S116" s="2"/>
    </row>
    <row r="117" spans="1:19" ht="30" customHeight="1" x14ac:dyDescent="0.3">
      <c r="A117" s="12">
        <v>4.0599999999999996</v>
      </c>
      <c r="B117" s="3" t="s">
        <v>458</v>
      </c>
      <c r="C117" s="2" t="s">
        <v>21</v>
      </c>
      <c r="D117" s="21" t="s">
        <v>74</v>
      </c>
      <c r="E117" s="21" t="s">
        <v>15</v>
      </c>
      <c r="F117" s="21" t="s">
        <v>442</v>
      </c>
      <c r="G117" s="2">
        <v>1</v>
      </c>
      <c r="H117" s="2"/>
      <c r="I117" s="2" t="s">
        <v>33</v>
      </c>
      <c r="J117" s="24" t="s">
        <v>441</v>
      </c>
      <c r="K117" s="12"/>
      <c r="L117" s="12">
        <v>323.67</v>
      </c>
      <c r="M117" s="12"/>
      <c r="N117" s="35">
        <f>SUM(G117*L117)</f>
        <v>323.67</v>
      </c>
      <c r="O117" s="47"/>
      <c r="P117" s="2"/>
      <c r="Q117" s="2"/>
      <c r="R117" s="2"/>
      <c r="S117" s="2"/>
    </row>
    <row r="118" spans="1:19" ht="15" customHeight="1" x14ac:dyDescent="0.3">
      <c r="A118" s="12">
        <v>4.07</v>
      </c>
      <c r="B118" s="3" t="s">
        <v>458</v>
      </c>
      <c r="C118" s="2"/>
      <c r="D118" s="21" t="s">
        <v>74</v>
      </c>
      <c r="E118" s="21" t="s">
        <v>15</v>
      </c>
      <c r="F118" s="21" t="s">
        <v>440</v>
      </c>
      <c r="G118" s="2">
        <v>1</v>
      </c>
      <c r="H118" s="2" t="s">
        <v>443</v>
      </c>
      <c r="I118" s="2" t="s">
        <v>33</v>
      </c>
      <c r="J118" s="24" t="s">
        <v>444</v>
      </c>
      <c r="K118" s="12"/>
      <c r="L118" s="12">
        <v>52.35</v>
      </c>
      <c r="M118" s="12"/>
      <c r="N118" s="35">
        <f>SUM(G118*L118)</f>
        <v>52.35</v>
      </c>
      <c r="O118" s="47"/>
      <c r="P118" s="2"/>
      <c r="Q118" s="2"/>
      <c r="R118" s="2"/>
      <c r="S118" s="2"/>
    </row>
    <row r="119" spans="1:19" ht="30" customHeight="1" x14ac:dyDescent="0.3">
      <c r="A119" s="12">
        <v>4.08</v>
      </c>
      <c r="B119" s="3" t="s">
        <v>458</v>
      </c>
      <c r="C119" s="2" t="s">
        <v>21</v>
      </c>
      <c r="D119" s="18" t="s">
        <v>357</v>
      </c>
      <c r="E119" s="18" t="s">
        <v>345</v>
      </c>
      <c r="F119" s="18" t="s">
        <v>168</v>
      </c>
      <c r="G119" s="2">
        <v>1</v>
      </c>
      <c r="H119" s="2"/>
      <c r="I119" s="2"/>
      <c r="J119" s="24" t="s">
        <v>363</v>
      </c>
      <c r="K119" s="35">
        <v>849</v>
      </c>
      <c r="L119" s="35">
        <v>1010.31</v>
      </c>
      <c r="M119" s="35">
        <v>849</v>
      </c>
      <c r="N119" s="35">
        <v>1010.31</v>
      </c>
      <c r="O119" s="47"/>
      <c r="P119" s="2"/>
      <c r="Q119" s="2"/>
      <c r="R119" s="2"/>
      <c r="S119" s="2"/>
    </row>
    <row r="120" spans="1:19" ht="30" customHeight="1" x14ac:dyDescent="0.3">
      <c r="A120" s="12">
        <v>4.09</v>
      </c>
      <c r="B120" s="3" t="s">
        <v>458</v>
      </c>
      <c r="C120" s="2" t="s">
        <v>21</v>
      </c>
      <c r="D120" s="18" t="s">
        <v>357</v>
      </c>
      <c r="E120" s="18" t="s">
        <v>154</v>
      </c>
      <c r="F120" s="18" t="s">
        <v>447</v>
      </c>
      <c r="G120" s="2">
        <v>1</v>
      </c>
      <c r="H120" s="2"/>
      <c r="I120" s="2" t="s">
        <v>346</v>
      </c>
      <c r="J120" s="27"/>
      <c r="K120" s="12"/>
      <c r="L120" s="35">
        <v>758.75</v>
      </c>
      <c r="M120" s="35"/>
      <c r="N120" s="35">
        <f t="shared" ref="N120:N141" si="10">SUM(G120*L120)</f>
        <v>758.75</v>
      </c>
      <c r="O120" s="47"/>
      <c r="P120" s="2"/>
      <c r="Q120" s="2"/>
      <c r="R120" s="2"/>
      <c r="S120" s="2"/>
    </row>
    <row r="121" spans="1:19" ht="30" customHeight="1" x14ac:dyDescent="0.3">
      <c r="A121" s="12">
        <v>4.0999999999999996</v>
      </c>
      <c r="B121" s="3" t="s">
        <v>458</v>
      </c>
      <c r="C121" s="2" t="s">
        <v>21</v>
      </c>
      <c r="D121" s="2" t="s">
        <v>169</v>
      </c>
      <c r="E121" s="2"/>
      <c r="F121" s="2" t="s">
        <v>170</v>
      </c>
      <c r="G121" s="2">
        <v>1</v>
      </c>
      <c r="H121" s="2"/>
      <c r="I121" s="2"/>
      <c r="J121" s="27"/>
      <c r="K121" s="12"/>
      <c r="L121" s="35">
        <v>1500</v>
      </c>
      <c r="M121" s="35"/>
      <c r="N121" s="35">
        <f t="shared" si="10"/>
        <v>1500</v>
      </c>
      <c r="O121" s="47"/>
      <c r="P121" s="2"/>
      <c r="Q121" s="2"/>
      <c r="R121" s="2"/>
      <c r="S121" s="2"/>
    </row>
    <row r="122" spans="1:19" ht="30" customHeight="1" x14ac:dyDescent="0.3">
      <c r="A122" s="12">
        <v>4.1100000000000003</v>
      </c>
      <c r="B122" s="3" t="s">
        <v>458</v>
      </c>
      <c r="C122" s="2" t="s">
        <v>163</v>
      </c>
      <c r="D122" s="21" t="s">
        <v>98</v>
      </c>
      <c r="E122" s="21"/>
      <c r="F122" s="21" t="s">
        <v>171</v>
      </c>
      <c r="G122" s="2">
        <v>5</v>
      </c>
      <c r="H122" s="2" t="s">
        <v>430</v>
      </c>
      <c r="I122" s="2" t="s">
        <v>432</v>
      </c>
      <c r="J122" s="24" t="s">
        <v>435</v>
      </c>
      <c r="K122" s="12"/>
      <c r="L122" s="35">
        <v>1490</v>
      </c>
      <c r="M122" s="35"/>
      <c r="N122" s="35">
        <f t="shared" si="10"/>
        <v>7450</v>
      </c>
      <c r="O122" s="47"/>
      <c r="P122" s="2"/>
      <c r="Q122" s="2"/>
      <c r="R122" s="2"/>
      <c r="S122" s="2"/>
    </row>
    <row r="123" spans="1:19" ht="30" customHeight="1" x14ac:dyDescent="0.3">
      <c r="A123" s="12">
        <v>4.12</v>
      </c>
      <c r="B123" s="3" t="s">
        <v>458</v>
      </c>
      <c r="C123" s="2" t="s">
        <v>163</v>
      </c>
      <c r="D123" s="21"/>
      <c r="E123" s="21"/>
      <c r="F123" s="21"/>
      <c r="G123" s="2">
        <v>5</v>
      </c>
      <c r="H123" s="2" t="s">
        <v>430</v>
      </c>
      <c r="I123" s="2" t="s">
        <v>432</v>
      </c>
      <c r="J123" s="24" t="s">
        <v>434</v>
      </c>
      <c r="K123" s="12"/>
      <c r="L123" s="35">
        <v>129.99</v>
      </c>
      <c r="M123" s="12"/>
      <c r="N123" s="35">
        <f t="shared" si="10"/>
        <v>649.95000000000005</v>
      </c>
      <c r="O123" s="47"/>
      <c r="P123" s="2"/>
      <c r="Q123" s="2"/>
      <c r="R123" s="2"/>
      <c r="S123" s="2"/>
    </row>
    <row r="124" spans="1:19" ht="30" customHeight="1" x14ac:dyDescent="0.3">
      <c r="A124" s="12">
        <v>4.13</v>
      </c>
      <c r="B124" s="3" t="s">
        <v>458</v>
      </c>
      <c r="C124" s="2" t="s">
        <v>163</v>
      </c>
      <c r="D124" s="21"/>
      <c r="E124" s="21"/>
      <c r="F124" s="21" t="s">
        <v>431</v>
      </c>
      <c r="G124" s="2">
        <v>8</v>
      </c>
      <c r="H124" s="2" t="s">
        <v>430</v>
      </c>
      <c r="I124" s="2" t="s">
        <v>432</v>
      </c>
      <c r="J124" s="24" t="s">
        <v>433</v>
      </c>
      <c r="K124" s="12"/>
      <c r="L124" s="35">
        <v>84.9</v>
      </c>
      <c r="M124" s="12"/>
      <c r="N124" s="35">
        <f t="shared" si="10"/>
        <v>679.2</v>
      </c>
      <c r="O124" s="47"/>
      <c r="P124" s="2"/>
      <c r="Q124" s="2"/>
      <c r="R124" s="2"/>
      <c r="S124" s="2"/>
    </row>
    <row r="125" spans="1:19" ht="30" customHeight="1" x14ac:dyDescent="0.3">
      <c r="A125" s="12">
        <v>4.1399999999999997</v>
      </c>
      <c r="B125" s="3" t="s">
        <v>458</v>
      </c>
      <c r="C125" s="2" t="s">
        <v>163</v>
      </c>
      <c r="D125" s="2" t="s">
        <v>98</v>
      </c>
      <c r="E125" s="2"/>
      <c r="F125" s="6" t="s">
        <v>437</v>
      </c>
      <c r="G125" s="6">
        <v>4</v>
      </c>
      <c r="H125" s="6"/>
      <c r="I125" s="6" t="s">
        <v>182</v>
      </c>
      <c r="J125" s="32" t="s">
        <v>436</v>
      </c>
      <c r="K125" s="38">
        <v>332.76</v>
      </c>
      <c r="L125" s="38">
        <v>395.98</v>
      </c>
      <c r="M125" s="35"/>
      <c r="N125" s="35">
        <f t="shared" si="10"/>
        <v>1583.92</v>
      </c>
      <c r="O125" s="47"/>
      <c r="P125" s="2"/>
      <c r="Q125" s="2"/>
      <c r="R125" s="2"/>
      <c r="S125" s="2"/>
    </row>
    <row r="126" spans="1:19" ht="30" customHeight="1" x14ac:dyDescent="0.3">
      <c r="A126" s="12">
        <v>4.1500000000000004</v>
      </c>
      <c r="B126" s="3" t="s">
        <v>458</v>
      </c>
      <c r="C126" s="2" t="s">
        <v>163</v>
      </c>
      <c r="D126" s="2" t="s">
        <v>98</v>
      </c>
      <c r="E126" s="2"/>
      <c r="F126" s="6" t="s">
        <v>438</v>
      </c>
      <c r="G126" s="6">
        <v>4</v>
      </c>
      <c r="H126" s="6"/>
      <c r="I126" s="6" t="s">
        <v>182</v>
      </c>
      <c r="J126" s="32" t="s">
        <v>439</v>
      </c>
      <c r="K126" s="38">
        <v>82.35</v>
      </c>
      <c r="L126" s="38">
        <v>98</v>
      </c>
      <c r="M126" s="12"/>
      <c r="N126" s="35">
        <f t="shared" si="10"/>
        <v>392</v>
      </c>
      <c r="O126" s="47"/>
      <c r="P126" s="2"/>
      <c r="Q126" s="2"/>
      <c r="R126" s="2"/>
      <c r="S126" s="2"/>
    </row>
    <row r="127" spans="1:19" ht="30" customHeight="1" x14ac:dyDescent="0.3">
      <c r="A127" s="12">
        <v>4.16</v>
      </c>
      <c r="B127" s="3" t="s">
        <v>458</v>
      </c>
      <c r="C127" s="2" t="s">
        <v>163</v>
      </c>
      <c r="D127" s="21" t="s">
        <v>98</v>
      </c>
      <c r="E127" s="21"/>
      <c r="F127" s="21" t="s">
        <v>172</v>
      </c>
      <c r="G127" s="2">
        <v>10</v>
      </c>
      <c r="H127" s="2" t="s">
        <v>399</v>
      </c>
      <c r="I127" s="2"/>
      <c r="J127" s="24" t="s">
        <v>398</v>
      </c>
      <c r="K127" s="12"/>
      <c r="L127" s="12">
        <v>376.4</v>
      </c>
      <c r="M127" s="36"/>
      <c r="N127" s="12">
        <f t="shared" si="10"/>
        <v>3764</v>
      </c>
      <c r="O127" s="47"/>
      <c r="P127" s="2"/>
      <c r="Q127" s="2"/>
      <c r="R127" s="2"/>
      <c r="S127" s="2"/>
    </row>
    <row r="128" spans="1:19" ht="30" customHeight="1" x14ac:dyDescent="0.3">
      <c r="A128" s="12">
        <v>4.17</v>
      </c>
      <c r="B128" s="3" t="s">
        <v>458</v>
      </c>
      <c r="C128" s="2" t="s">
        <v>163</v>
      </c>
      <c r="D128" s="21" t="s">
        <v>98</v>
      </c>
      <c r="E128" s="21"/>
      <c r="F128" s="21" t="s">
        <v>423</v>
      </c>
      <c r="G128" s="2">
        <v>4</v>
      </c>
      <c r="H128" s="2"/>
      <c r="I128" s="2"/>
      <c r="J128" s="24" t="s">
        <v>424</v>
      </c>
      <c r="K128" s="12"/>
      <c r="L128" s="43">
        <v>203.33</v>
      </c>
      <c r="M128" s="36"/>
      <c r="N128" s="35">
        <f t="shared" si="10"/>
        <v>813.32</v>
      </c>
      <c r="O128" s="47"/>
      <c r="P128" s="2"/>
      <c r="Q128" s="2"/>
      <c r="R128" s="2"/>
      <c r="S128" s="2"/>
    </row>
    <row r="129" spans="1:19" ht="30" customHeight="1" x14ac:dyDescent="0.3">
      <c r="A129" s="12">
        <v>4.18</v>
      </c>
      <c r="B129" s="3" t="s">
        <v>458</v>
      </c>
      <c r="C129" s="2" t="s">
        <v>163</v>
      </c>
      <c r="D129" s="2" t="s">
        <v>457</v>
      </c>
      <c r="E129" s="2"/>
      <c r="F129" s="2" t="s">
        <v>174</v>
      </c>
      <c r="G129" s="2">
        <v>1</v>
      </c>
      <c r="H129" s="2"/>
      <c r="I129" s="2" t="s">
        <v>175</v>
      </c>
      <c r="J129" s="27"/>
      <c r="K129" s="12"/>
      <c r="L129" s="35">
        <v>3500</v>
      </c>
      <c r="M129" s="12"/>
      <c r="N129" s="35">
        <f t="shared" si="10"/>
        <v>3500</v>
      </c>
      <c r="O129" s="47"/>
      <c r="P129" s="2"/>
      <c r="Q129" s="2"/>
      <c r="R129" s="2"/>
      <c r="S129" s="2"/>
    </row>
    <row r="130" spans="1:19" ht="30" customHeight="1" x14ac:dyDescent="0.3">
      <c r="A130" s="12">
        <v>4.1900000000000004</v>
      </c>
      <c r="B130" s="3" t="s">
        <v>458</v>
      </c>
      <c r="C130" s="2" t="s">
        <v>163</v>
      </c>
      <c r="D130" s="2" t="s">
        <v>173</v>
      </c>
      <c r="E130" s="2"/>
      <c r="F130" s="2" t="s">
        <v>176</v>
      </c>
      <c r="G130" s="2">
        <v>2</v>
      </c>
      <c r="H130" s="2" t="s">
        <v>428</v>
      </c>
      <c r="I130" s="2" t="s">
        <v>19</v>
      </c>
      <c r="J130" s="24" t="s">
        <v>429</v>
      </c>
      <c r="K130" s="12"/>
      <c r="L130" s="35">
        <v>1099.99</v>
      </c>
      <c r="M130" s="12"/>
      <c r="N130" s="35">
        <f t="shared" si="10"/>
        <v>2199.98</v>
      </c>
      <c r="O130" s="47"/>
      <c r="P130" s="2"/>
      <c r="Q130" s="2"/>
      <c r="R130" s="2"/>
      <c r="S130" s="2"/>
    </row>
    <row r="131" spans="1:19" ht="30" customHeight="1" x14ac:dyDescent="0.3">
      <c r="A131" s="12">
        <v>4.2</v>
      </c>
      <c r="B131" s="3" t="s">
        <v>458</v>
      </c>
      <c r="C131" s="2" t="s">
        <v>163</v>
      </c>
      <c r="D131" s="2"/>
      <c r="E131" s="2"/>
      <c r="F131" s="2" t="s">
        <v>177</v>
      </c>
      <c r="G131" s="2">
        <v>1</v>
      </c>
      <c r="H131" s="2"/>
      <c r="I131" s="2"/>
      <c r="J131" s="24" t="s">
        <v>364</v>
      </c>
      <c r="K131" s="12"/>
      <c r="L131" s="35">
        <v>4000</v>
      </c>
      <c r="M131" s="12"/>
      <c r="N131" s="35">
        <f t="shared" si="10"/>
        <v>4000</v>
      </c>
      <c r="O131" s="47"/>
      <c r="P131" s="2"/>
      <c r="Q131" s="2"/>
      <c r="R131" s="2"/>
      <c r="S131" s="2"/>
    </row>
    <row r="132" spans="1:19" ht="30" customHeight="1" x14ac:dyDescent="0.3">
      <c r="A132" s="12">
        <v>4.21</v>
      </c>
      <c r="B132" s="3" t="s">
        <v>458</v>
      </c>
      <c r="C132" s="2" t="s">
        <v>163</v>
      </c>
      <c r="D132" s="2"/>
      <c r="E132" s="2"/>
      <c r="F132" s="2" t="s">
        <v>426</v>
      </c>
      <c r="G132" s="2">
        <v>1</v>
      </c>
      <c r="H132" s="2" t="s">
        <v>425</v>
      </c>
      <c r="I132" s="2"/>
      <c r="J132" s="24" t="s">
        <v>427</v>
      </c>
      <c r="K132" s="12"/>
      <c r="L132" s="35">
        <v>148.22999999999999</v>
      </c>
      <c r="M132" s="12"/>
      <c r="N132" s="35">
        <f t="shared" si="10"/>
        <v>148.22999999999999</v>
      </c>
      <c r="O132" s="47"/>
      <c r="P132" s="2"/>
      <c r="Q132" s="2"/>
      <c r="R132" s="2"/>
      <c r="S132" s="2"/>
    </row>
    <row r="133" spans="1:19" ht="30" customHeight="1" x14ac:dyDescent="0.3">
      <c r="A133" s="12">
        <v>4.22</v>
      </c>
      <c r="B133" s="3" t="s">
        <v>458</v>
      </c>
      <c r="C133" s="2" t="s">
        <v>21</v>
      </c>
      <c r="D133" s="2" t="s">
        <v>357</v>
      </c>
      <c r="E133" s="2"/>
      <c r="F133" s="2" t="s">
        <v>404</v>
      </c>
      <c r="G133" s="2"/>
      <c r="H133" s="2"/>
      <c r="I133" s="2"/>
      <c r="J133" s="24"/>
      <c r="K133" s="12"/>
      <c r="L133" s="35"/>
      <c r="M133" s="12"/>
      <c r="N133" s="35"/>
      <c r="O133" s="47"/>
      <c r="P133" s="2"/>
      <c r="Q133" s="2"/>
      <c r="R133" s="2"/>
      <c r="S133" s="2"/>
    </row>
    <row r="134" spans="1:19" ht="30" hidden="1" customHeight="1" outlineLevel="1" x14ac:dyDescent="0.3">
      <c r="A134" s="12">
        <v>4.2300000000000004</v>
      </c>
      <c r="B134" s="3" t="s">
        <v>458</v>
      </c>
      <c r="C134" s="2"/>
      <c r="D134" s="2"/>
      <c r="E134" s="2"/>
      <c r="F134" s="2" t="s">
        <v>407</v>
      </c>
      <c r="G134" s="11">
        <v>1</v>
      </c>
      <c r="H134" s="2" t="s">
        <v>416</v>
      </c>
      <c r="I134" s="2" t="s">
        <v>291</v>
      </c>
      <c r="J134" s="24" t="s">
        <v>406</v>
      </c>
      <c r="K134" s="12"/>
      <c r="L134" s="44">
        <v>99.95</v>
      </c>
      <c r="M134" s="44"/>
      <c r="N134" s="44">
        <f>G134*L134</f>
        <v>99.95</v>
      </c>
      <c r="O134" s="47"/>
      <c r="P134" s="2"/>
      <c r="Q134" s="2"/>
      <c r="R134" s="2"/>
      <c r="S134" s="2"/>
    </row>
    <row r="135" spans="1:19" ht="30" hidden="1" customHeight="1" outlineLevel="1" x14ac:dyDescent="0.3">
      <c r="A135" s="12">
        <v>4.2399999999999904</v>
      </c>
      <c r="B135" s="3" t="s">
        <v>458</v>
      </c>
      <c r="C135" s="2"/>
      <c r="D135" s="2"/>
      <c r="E135" s="2"/>
      <c r="F135" s="2" t="s">
        <v>408</v>
      </c>
      <c r="G135" s="8">
        <v>1</v>
      </c>
      <c r="H135" s="2" t="s">
        <v>418</v>
      </c>
      <c r="I135" s="2" t="s">
        <v>291</v>
      </c>
      <c r="J135" s="24" t="s">
        <v>409</v>
      </c>
      <c r="K135" s="12"/>
      <c r="L135" s="12">
        <v>149.99</v>
      </c>
      <c r="M135" s="12"/>
      <c r="N135" s="44">
        <f t="shared" ref="N135:N140" si="11">G135*L135</f>
        <v>149.99</v>
      </c>
      <c r="O135" s="47"/>
      <c r="P135" s="2"/>
      <c r="Q135" s="2"/>
      <c r="R135" s="2"/>
      <c r="S135" s="2"/>
    </row>
    <row r="136" spans="1:19" ht="30" hidden="1" customHeight="1" outlineLevel="1" x14ac:dyDescent="0.3">
      <c r="A136" s="12">
        <v>4.2499999999999902</v>
      </c>
      <c r="B136" s="3" t="s">
        <v>458</v>
      </c>
      <c r="C136" s="2"/>
      <c r="D136" s="2"/>
      <c r="E136" s="2"/>
      <c r="F136" s="2" t="s">
        <v>419</v>
      </c>
      <c r="G136" s="8">
        <v>1</v>
      </c>
      <c r="H136" s="2" t="s">
        <v>417</v>
      </c>
      <c r="I136" s="2" t="s">
        <v>291</v>
      </c>
      <c r="J136" s="24" t="s">
        <v>410</v>
      </c>
      <c r="K136" s="12"/>
      <c r="L136" s="44">
        <v>15.9</v>
      </c>
      <c r="M136" s="12"/>
      <c r="N136" s="44">
        <f t="shared" si="11"/>
        <v>15.9</v>
      </c>
      <c r="O136" s="47"/>
      <c r="P136" s="2"/>
      <c r="Q136" s="2"/>
      <c r="R136" s="2"/>
      <c r="S136" s="2"/>
    </row>
    <row r="137" spans="1:19" ht="30" hidden="1" customHeight="1" outlineLevel="1" x14ac:dyDescent="0.3">
      <c r="A137" s="12">
        <v>4.25999999999999</v>
      </c>
      <c r="B137" s="3" t="s">
        <v>458</v>
      </c>
      <c r="C137" s="2"/>
      <c r="D137" s="2"/>
      <c r="E137" s="2"/>
      <c r="F137" s="2" t="s">
        <v>420</v>
      </c>
      <c r="G137" s="8">
        <v>10</v>
      </c>
      <c r="H137" s="2"/>
      <c r="I137" s="2" t="s">
        <v>291</v>
      </c>
      <c r="J137" s="24" t="s">
        <v>411</v>
      </c>
      <c r="K137" s="12"/>
      <c r="L137" s="44">
        <v>2.0299999999999998</v>
      </c>
      <c r="M137" s="12"/>
      <c r="N137" s="44">
        <f t="shared" si="11"/>
        <v>20.299999999999997</v>
      </c>
      <c r="O137" s="47"/>
      <c r="P137" s="2"/>
      <c r="Q137" s="2"/>
      <c r="R137" s="2"/>
      <c r="S137" s="2"/>
    </row>
    <row r="138" spans="1:19" ht="30" hidden="1" customHeight="1" outlineLevel="1" x14ac:dyDescent="0.3">
      <c r="A138" s="12">
        <v>4.2699999999999898</v>
      </c>
      <c r="B138" s="3" t="s">
        <v>458</v>
      </c>
      <c r="C138" s="2"/>
      <c r="D138" s="2"/>
      <c r="E138" s="2"/>
      <c r="F138" s="2" t="s">
        <v>421</v>
      </c>
      <c r="G138" s="8">
        <v>10</v>
      </c>
      <c r="H138" s="2"/>
      <c r="I138" s="2" t="s">
        <v>291</v>
      </c>
      <c r="J138" s="24" t="s">
        <v>412</v>
      </c>
      <c r="K138" s="12"/>
      <c r="L138" s="44">
        <v>0.9</v>
      </c>
      <c r="M138" s="12"/>
      <c r="N138" s="44">
        <f t="shared" si="11"/>
        <v>9</v>
      </c>
      <c r="O138" s="47"/>
      <c r="P138" s="2"/>
      <c r="Q138" s="2"/>
      <c r="R138" s="2"/>
      <c r="S138" s="2"/>
    </row>
    <row r="139" spans="1:19" ht="30" hidden="1" customHeight="1" outlineLevel="1" x14ac:dyDescent="0.3">
      <c r="A139" s="12">
        <v>4.2799999999999896</v>
      </c>
      <c r="B139" s="3" t="s">
        <v>458</v>
      </c>
      <c r="C139" s="2"/>
      <c r="D139" s="2"/>
      <c r="E139" s="2"/>
      <c r="F139" s="2" t="s">
        <v>422</v>
      </c>
      <c r="G139" s="8">
        <v>3</v>
      </c>
      <c r="H139" s="2" t="s">
        <v>416</v>
      </c>
      <c r="I139" s="2" t="s">
        <v>291</v>
      </c>
      <c r="J139" s="24" t="s">
        <v>413</v>
      </c>
      <c r="K139" s="12"/>
      <c r="L139" s="44">
        <v>10.95</v>
      </c>
      <c r="M139" s="44"/>
      <c r="N139" s="44">
        <f t="shared" si="11"/>
        <v>32.849999999999994</v>
      </c>
      <c r="O139" s="47"/>
      <c r="P139" s="2"/>
      <c r="Q139" s="2"/>
      <c r="R139" s="2"/>
      <c r="S139" s="2"/>
    </row>
    <row r="140" spans="1:19" ht="30" hidden="1" customHeight="1" outlineLevel="1" x14ac:dyDescent="0.3">
      <c r="A140" s="12">
        <v>4.2899999999999903</v>
      </c>
      <c r="B140" s="3" t="s">
        <v>458</v>
      </c>
      <c r="C140" s="2"/>
      <c r="D140" s="2"/>
      <c r="E140" s="2"/>
      <c r="F140" s="2" t="s">
        <v>405</v>
      </c>
      <c r="G140" s="8">
        <v>1</v>
      </c>
      <c r="H140" s="2" t="s">
        <v>415</v>
      </c>
      <c r="I140" s="2" t="s">
        <v>291</v>
      </c>
      <c r="J140" s="24" t="s">
        <v>414</v>
      </c>
      <c r="K140" s="12"/>
      <c r="L140" s="12">
        <v>14.95</v>
      </c>
      <c r="M140" s="12"/>
      <c r="N140" s="44">
        <f t="shared" si="11"/>
        <v>14.95</v>
      </c>
      <c r="O140" s="47"/>
      <c r="P140" s="2"/>
      <c r="Q140" s="2"/>
      <c r="R140" s="2"/>
      <c r="S140" s="2"/>
    </row>
    <row r="141" spans="1:19" ht="30" customHeight="1" collapsed="1" x14ac:dyDescent="0.3">
      <c r="A141" s="12">
        <v>4.2999999999999901</v>
      </c>
      <c r="B141" s="3" t="s">
        <v>458</v>
      </c>
      <c r="C141" s="2" t="s">
        <v>163</v>
      </c>
      <c r="D141" s="22" t="s">
        <v>360</v>
      </c>
      <c r="E141" s="2"/>
      <c r="F141" s="2" t="s">
        <v>178</v>
      </c>
      <c r="G141" s="8">
        <v>1</v>
      </c>
      <c r="H141" s="2"/>
      <c r="I141" s="2" t="s">
        <v>361</v>
      </c>
      <c r="J141" s="27"/>
      <c r="K141" s="12">
        <v>3086.13</v>
      </c>
      <c r="L141" s="35">
        <v>3672.49</v>
      </c>
      <c r="M141" s="12"/>
      <c r="N141" s="35">
        <f t="shared" si="10"/>
        <v>3672.49</v>
      </c>
      <c r="O141" s="47"/>
      <c r="P141" s="2"/>
      <c r="Q141" s="2"/>
      <c r="R141" s="2"/>
      <c r="S141" s="2"/>
    </row>
    <row r="142" spans="1:19" ht="15" customHeight="1" x14ac:dyDescent="0.3">
      <c r="A142" s="12">
        <v>5.01</v>
      </c>
      <c r="B142" s="3" t="s">
        <v>179</v>
      </c>
      <c r="C142" s="2" t="s">
        <v>21</v>
      </c>
      <c r="D142" s="18" t="s">
        <v>357</v>
      </c>
      <c r="E142" s="18" t="s">
        <v>154</v>
      </c>
      <c r="F142" s="18" t="s">
        <v>452</v>
      </c>
      <c r="G142" s="2">
        <v>2</v>
      </c>
      <c r="H142" s="2"/>
      <c r="I142" s="2" t="s">
        <v>448</v>
      </c>
      <c r="J142" s="27"/>
      <c r="K142" s="12"/>
      <c r="L142" s="45">
        <v>400</v>
      </c>
      <c r="M142" s="12"/>
      <c r="N142" s="12">
        <f t="shared" ref="N142:N177" si="12">SUM(G142*L142)</f>
        <v>800</v>
      </c>
      <c r="O142" s="47"/>
      <c r="P142" s="2"/>
      <c r="Q142" s="2"/>
      <c r="R142" s="2"/>
      <c r="S142" s="2"/>
    </row>
    <row r="143" spans="1:19" ht="15" customHeight="1" x14ac:dyDescent="0.3">
      <c r="A143" s="12">
        <v>5.0199999999999996</v>
      </c>
      <c r="B143" s="3" t="s">
        <v>179</v>
      </c>
      <c r="C143" s="2" t="s">
        <v>21</v>
      </c>
      <c r="D143" s="2" t="s">
        <v>251</v>
      </c>
      <c r="E143" s="2"/>
      <c r="F143" s="2" t="s">
        <v>365</v>
      </c>
      <c r="G143" s="2">
        <v>20</v>
      </c>
      <c r="H143" s="2"/>
      <c r="I143" s="2" t="s">
        <v>366</v>
      </c>
      <c r="J143" s="33" t="s">
        <v>367</v>
      </c>
      <c r="K143" s="12"/>
      <c r="L143" s="12"/>
      <c r="M143" s="12">
        <v>6547</v>
      </c>
      <c r="N143" s="12">
        <v>7790.93</v>
      </c>
      <c r="O143" s="47"/>
      <c r="P143" s="2"/>
      <c r="Q143" s="2"/>
      <c r="R143" s="2"/>
      <c r="S143" s="2"/>
    </row>
    <row r="144" spans="1:19" ht="15" customHeight="1" x14ac:dyDescent="0.3">
      <c r="A144" s="12">
        <v>5.03</v>
      </c>
      <c r="B144" s="3" t="s">
        <v>179</v>
      </c>
      <c r="C144" s="2" t="s">
        <v>165</v>
      </c>
      <c r="D144" s="2" t="s">
        <v>98</v>
      </c>
      <c r="E144" s="2"/>
      <c r="F144" s="2" t="s">
        <v>181</v>
      </c>
      <c r="G144" s="2">
        <v>8</v>
      </c>
      <c r="H144" s="2" t="s">
        <v>182</v>
      </c>
      <c r="I144" s="2" t="s">
        <v>182</v>
      </c>
      <c r="J144" s="24" t="s">
        <v>183</v>
      </c>
      <c r="K144" s="12">
        <v>99.99</v>
      </c>
      <c r="L144" s="12">
        <v>188.99</v>
      </c>
      <c r="M144" s="12"/>
      <c r="N144" s="12">
        <f t="shared" si="12"/>
        <v>1511.92</v>
      </c>
      <c r="O144" s="47"/>
      <c r="P144" s="2"/>
      <c r="Q144" s="2"/>
      <c r="R144" s="2"/>
      <c r="S144" s="2"/>
    </row>
    <row r="145" spans="1:19" ht="15" customHeight="1" x14ac:dyDescent="0.3">
      <c r="A145" s="12">
        <v>5.04</v>
      </c>
      <c r="B145" s="3" t="s">
        <v>179</v>
      </c>
      <c r="C145" s="2" t="s">
        <v>21</v>
      </c>
      <c r="D145" s="2" t="s">
        <v>357</v>
      </c>
      <c r="E145" s="2" t="s">
        <v>351</v>
      </c>
      <c r="F145" s="2" t="s">
        <v>393</v>
      </c>
      <c r="G145" s="2">
        <v>1</v>
      </c>
      <c r="H145" s="2" t="s">
        <v>184</v>
      </c>
      <c r="I145" s="2" t="s">
        <v>185</v>
      </c>
      <c r="J145" s="24" t="s">
        <v>186</v>
      </c>
      <c r="K145" s="12"/>
      <c r="L145" s="12">
        <v>1919.64</v>
      </c>
      <c r="M145" s="12"/>
      <c r="N145" s="12">
        <f t="shared" si="12"/>
        <v>1919.64</v>
      </c>
      <c r="O145" s="47"/>
      <c r="P145" s="2"/>
      <c r="Q145" s="2"/>
      <c r="R145" s="2"/>
      <c r="S145" s="2"/>
    </row>
    <row r="146" spans="1:19" ht="15" customHeight="1" x14ac:dyDescent="0.3">
      <c r="A146" s="12">
        <v>5.05</v>
      </c>
      <c r="B146" s="3" t="s">
        <v>179</v>
      </c>
      <c r="C146" s="2" t="s">
        <v>21</v>
      </c>
      <c r="D146" s="2" t="s">
        <v>74</v>
      </c>
      <c r="E146" s="2" t="s">
        <v>15</v>
      </c>
      <c r="F146" s="2" t="s">
        <v>187</v>
      </c>
      <c r="G146" s="2">
        <v>1</v>
      </c>
      <c r="H146" s="2" t="s">
        <v>188</v>
      </c>
      <c r="I146" s="2" t="s">
        <v>189</v>
      </c>
      <c r="J146" s="28" t="s">
        <v>190</v>
      </c>
      <c r="K146" s="35"/>
      <c r="L146" s="12">
        <v>2102.25</v>
      </c>
      <c r="M146" s="12"/>
      <c r="N146" s="12">
        <f t="shared" si="12"/>
        <v>2102.25</v>
      </c>
      <c r="O146" s="47"/>
      <c r="P146" s="2"/>
      <c r="Q146" s="2"/>
      <c r="R146" s="2"/>
      <c r="S146" s="2"/>
    </row>
    <row r="147" spans="1:19" ht="15" customHeight="1" x14ac:dyDescent="0.3">
      <c r="A147" s="12">
        <v>5.0599999999999996</v>
      </c>
      <c r="B147" s="3" t="s">
        <v>179</v>
      </c>
      <c r="C147" s="2" t="s">
        <v>21</v>
      </c>
      <c r="D147" s="2" t="s">
        <v>357</v>
      </c>
      <c r="E147" s="2" t="s">
        <v>335</v>
      </c>
      <c r="F147" s="2" t="s">
        <v>191</v>
      </c>
      <c r="G147" s="2"/>
      <c r="H147" s="2"/>
      <c r="I147" s="2" t="s">
        <v>192</v>
      </c>
      <c r="J147" s="24"/>
      <c r="K147" s="12"/>
      <c r="L147" s="12"/>
      <c r="M147" s="12"/>
      <c r="N147" s="12">
        <v>4192.1000000000004</v>
      </c>
      <c r="O147" s="47"/>
      <c r="P147" s="2"/>
      <c r="Q147" s="2"/>
      <c r="R147" s="2"/>
      <c r="S147" s="2"/>
    </row>
    <row r="148" spans="1:19" ht="15" hidden="1" customHeight="1" outlineLevel="1" x14ac:dyDescent="0.3">
      <c r="A148" s="12">
        <v>5.07</v>
      </c>
      <c r="B148" s="3" t="s">
        <v>179</v>
      </c>
      <c r="C148" s="2"/>
      <c r="D148" s="2"/>
      <c r="E148" s="2"/>
      <c r="F148" s="2" t="s">
        <v>378</v>
      </c>
      <c r="G148" s="2">
        <v>2</v>
      </c>
      <c r="H148" s="2"/>
      <c r="I148" s="2" t="s">
        <v>192</v>
      </c>
      <c r="J148" s="24"/>
      <c r="K148" s="12"/>
      <c r="L148" s="12">
        <v>429</v>
      </c>
      <c r="M148" s="12"/>
      <c r="N148" s="12"/>
      <c r="O148" s="47"/>
      <c r="P148" s="2"/>
      <c r="Q148" s="2"/>
      <c r="R148" s="2"/>
      <c r="S148" s="2"/>
    </row>
    <row r="149" spans="1:19" ht="15" hidden="1" customHeight="1" outlineLevel="1" x14ac:dyDescent="0.3">
      <c r="A149" s="12">
        <v>5.08</v>
      </c>
      <c r="B149" s="3" t="s">
        <v>179</v>
      </c>
      <c r="C149" s="2"/>
      <c r="D149" s="2"/>
      <c r="E149" s="2"/>
      <c r="F149" s="2" t="s">
        <v>379</v>
      </c>
      <c r="G149" s="2">
        <v>2</v>
      </c>
      <c r="H149" s="2"/>
      <c r="I149" s="2" t="s">
        <v>192</v>
      </c>
      <c r="J149" s="24"/>
      <c r="K149" s="12"/>
      <c r="L149" s="12">
        <v>499</v>
      </c>
      <c r="M149" s="12"/>
      <c r="N149" s="12"/>
      <c r="O149" s="47"/>
      <c r="P149" s="2"/>
      <c r="Q149" s="2"/>
      <c r="R149" s="2"/>
      <c r="S149" s="2"/>
    </row>
    <row r="150" spans="1:19" ht="15" hidden="1" customHeight="1" outlineLevel="1" x14ac:dyDescent="0.3">
      <c r="A150" s="12">
        <v>5.09</v>
      </c>
      <c r="B150" s="3" t="s">
        <v>179</v>
      </c>
      <c r="C150" s="2"/>
      <c r="D150" s="2"/>
      <c r="E150" s="2"/>
      <c r="F150" s="2" t="s">
        <v>380</v>
      </c>
      <c r="G150" s="2">
        <v>4</v>
      </c>
      <c r="H150" s="2"/>
      <c r="I150" s="2" t="s">
        <v>192</v>
      </c>
      <c r="J150" s="24"/>
      <c r="K150" s="12"/>
      <c r="L150" s="12">
        <v>45</v>
      </c>
      <c r="M150" s="12"/>
      <c r="N150" s="12"/>
      <c r="O150" s="47"/>
      <c r="P150" s="2"/>
      <c r="Q150" s="2"/>
      <c r="R150" s="2"/>
      <c r="S150" s="2"/>
    </row>
    <row r="151" spans="1:19" ht="15" hidden="1" customHeight="1" outlineLevel="1" x14ac:dyDescent="0.3">
      <c r="A151" s="12">
        <v>5.0999999999999996</v>
      </c>
      <c r="B151" s="3" t="s">
        <v>179</v>
      </c>
      <c r="C151" s="2"/>
      <c r="D151" s="2"/>
      <c r="E151" s="2"/>
      <c r="F151" s="2" t="s">
        <v>381</v>
      </c>
      <c r="G151" s="2">
        <v>2</v>
      </c>
      <c r="H151" s="2"/>
      <c r="I151" s="2" t="s">
        <v>192</v>
      </c>
      <c r="J151" s="24"/>
      <c r="K151" s="12"/>
      <c r="L151" s="12">
        <v>289</v>
      </c>
      <c r="M151" s="12"/>
      <c r="N151" s="12"/>
      <c r="O151" s="47"/>
      <c r="P151" s="2"/>
      <c r="Q151" s="2"/>
      <c r="R151" s="2"/>
      <c r="S151" s="2"/>
    </row>
    <row r="152" spans="1:19" ht="15" hidden="1" customHeight="1" outlineLevel="1" x14ac:dyDescent="0.3">
      <c r="A152" s="12">
        <v>5.1100000000000003</v>
      </c>
      <c r="B152" s="3" t="s">
        <v>179</v>
      </c>
      <c r="C152" s="2"/>
      <c r="D152" s="2"/>
      <c r="E152" s="2"/>
      <c r="F152" s="2" t="s">
        <v>382</v>
      </c>
      <c r="G152" s="2">
        <v>1</v>
      </c>
      <c r="H152" s="2"/>
      <c r="I152" s="2" t="s">
        <v>192</v>
      </c>
      <c r="J152" s="24"/>
      <c r="K152" s="12"/>
      <c r="L152" s="12">
        <v>359</v>
      </c>
      <c r="M152" s="12"/>
      <c r="N152" s="12"/>
      <c r="O152" s="47"/>
      <c r="P152" s="2"/>
      <c r="Q152" s="2"/>
      <c r="R152" s="2"/>
      <c r="S152" s="2"/>
    </row>
    <row r="153" spans="1:19" ht="15" hidden="1" customHeight="1" outlineLevel="1" x14ac:dyDescent="0.3">
      <c r="A153" s="12">
        <v>5.12</v>
      </c>
      <c r="B153" s="3" t="s">
        <v>179</v>
      </c>
      <c r="C153" s="2"/>
      <c r="D153" s="2"/>
      <c r="E153" s="2"/>
      <c r="F153" s="2" t="s">
        <v>383</v>
      </c>
      <c r="G153" s="2">
        <v>1</v>
      </c>
      <c r="H153" s="2"/>
      <c r="I153" s="2" t="s">
        <v>192</v>
      </c>
      <c r="J153" s="24"/>
      <c r="K153" s="12"/>
      <c r="L153" s="12">
        <v>45</v>
      </c>
      <c r="M153" s="12"/>
      <c r="N153" s="12"/>
      <c r="O153" s="47"/>
      <c r="P153" s="2"/>
      <c r="Q153" s="2"/>
      <c r="R153" s="2"/>
      <c r="S153" s="2"/>
    </row>
    <row r="154" spans="1:19" ht="15" hidden="1" customHeight="1" outlineLevel="1" x14ac:dyDescent="0.3">
      <c r="A154" s="12">
        <v>5.13</v>
      </c>
      <c r="B154" s="3" t="s">
        <v>179</v>
      </c>
      <c r="C154" s="2"/>
      <c r="D154" s="2"/>
      <c r="E154" s="2"/>
      <c r="F154" s="2" t="s">
        <v>384</v>
      </c>
      <c r="G154" s="2">
        <v>1</v>
      </c>
      <c r="H154" s="2"/>
      <c r="I154" s="2" t="s">
        <v>192</v>
      </c>
      <c r="J154" s="24"/>
      <c r="K154" s="12"/>
      <c r="L154" s="12">
        <v>22.9</v>
      </c>
      <c r="M154" s="12"/>
      <c r="N154" s="12"/>
      <c r="O154" s="47"/>
      <c r="P154" s="2"/>
      <c r="Q154" s="2"/>
      <c r="R154" s="2"/>
      <c r="S154" s="2"/>
    </row>
    <row r="155" spans="1:19" ht="15" hidden="1" customHeight="1" outlineLevel="1" x14ac:dyDescent="0.3">
      <c r="A155" s="12">
        <v>5.14</v>
      </c>
      <c r="B155" s="3" t="s">
        <v>179</v>
      </c>
      <c r="C155" s="2"/>
      <c r="D155" s="2"/>
      <c r="E155" s="2"/>
      <c r="F155" s="2" t="s">
        <v>385</v>
      </c>
      <c r="G155" s="2">
        <v>1</v>
      </c>
      <c r="H155" s="2"/>
      <c r="I155" s="2" t="s">
        <v>192</v>
      </c>
      <c r="J155" s="24"/>
      <c r="K155" s="12"/>
      <c r="L155" s="12">
        <v>39</v>
      </c>
      <c r="M155" s="12"/>
      <c r="N155" s="12"/>
      <c r="O155" s="47"/>
      <c r="P155" s="2"/>
      <c r="Q155" s="2"/>
      <c r="R155" s="2"/>
      <c r="S155" s="2"/>
    </row>
    <row r="156" spans="1:19" ht="15" hidden="1" customHeight="1" outlineLevel="1" x14ac:dyDescent="0.3">
      <c r="A156" s="12">
        <v>5.15</v>
      </c>
      <c r="B156" s="3" t="s">
        <v>179</v>
      </c>
      <c r="C156" s="2"/>
      <c r="D156" s="2"/>
      <c r="E156" s="2"/>
      <c r="F156" s="2" t="s">
        <v>386</v>
      </c>
      <c r="G156" s="2">
        <v>8</v>
      </c>
      <c r="H156" s="2"/>
      <c r="I156" s="2" t="s">
        <v>192</v>
      </c>
      <c r="J156" s="24"/>
      <c r="K156" s="12"/>
      <c r="L156" s="12">
        <v>4.9000000000000004</v>
      </c>
      <c r="M156" s="12"/>
      <c r="N156" s="12"/>
      <c r="O156" s="47"/>
      <c r="P156" s="2"/>
      <c r="Q156" s="2"/>
      <c r="R156" s="2"/>
      <c r="S156" s="2"/>
    </row>
    <row r="157" spans="1:19" ht="15" hidden="1" customHeight="1" outlineLevel="1" x14ac:dyDescent="0.3">
      <c r="A157" s="12">
        <v>5.16</v>
      </c>
      <c r="B157" s="3" t="s">
        <v>179</v>
      </c>
      <c r="C157" s="2"/>
      <c r="D157" s="2"/>
      <c r="E157" s="2"/>
      <c r="F157" s="2" t="s">
        <v>387</v>
      </c>
      <c r="G157" s="2">
        <v>1</v>
      </c>
      <c r="H157" s="2"/>
      <c r="I157" s="2" t="s">
        <v>192</v>
      </c>
      <c r="J157" s="24"/>
      <c r="K157" s="12"/>
      <c r="L157" s="12">
        <v>659</v>
      </c>
      <c r="M157" s="12"/>
      <c r="N157" s="12"/>
      <c r="O157" s="47"/>
      <c r="P157" s="2"/>
      <c r="Q157" s="2"/>
      <c r="R157" s="2"/>
      <c r="S157" s="2"/>
    </row>
    <row r="158" spans="1:19" ht="15" hidden="1" customHeight="1" outlineLevel="1" x14ac:dyDescent="0.3">
      <c r="A158" s="12">
        <v>5.17</v>
      </c>
      <c r="B158" s="3" t="s">
        <v>179</v>
      </c>
      <c r="C158" s="2"/>
      <c r="D158" s="2"/>
      <c r="E158" s="2"/>
      <c r="F158" s="2" t="s">
        <v>388</v>
      </c>
      <c r="G158" s="2">
        <v>1</v>
      </c>
      <c r="H158" s="2"/>
      <c r="I158" s="2" t="s">
        <v>192</v>
      </c>
      <c r="J158" s="24"/>
      <c r="K158" s="12"/>
      <c r="L158" s="12">
        <v>298</v>
      </c>
      <c r="M158" s="12"/>
      <c r="N158" s="12"/>
      <c r="O158" s="47"/>
      <c r="P158" s="2"/>
      <c r="Q158" s="2"/>
      <c r="R158" s="2"/>
      <c r="S158" s="2"/>
    </row>
    <row r="159" spans="1:19" ht="15" hidden="1" customHeight="1" outlineLevel="1" x14ac:dyDescent="0.3">
      <c r="A159" s="12">
        <v>5.18</v>
      </c>
      <c r="B159" s="3" t="s">
        <v>179</v>
      </c>
      <c r="C159" s="2"/>
      <c r="D159" s="2"/>
      <c r="E159" s="2"/>
      <c r="F159" s="2" t="s">
        <v>389</v>
      </c>
      <c r="G159" s="2">
        <v>1</v>
      </c>
      <c r="H159" s="2"/>
      <c r="I159" s="2" t="s">
        <v>192</v>
      </c>
      <c r="J159" s="24"/>
      <c r="K159" s="12"/>
      <c r="L159" s="12">
        <v>52</v>
      </c>
      <c r="M159" s="12"/>
      <c r="N159" s="12"/>
      <c r="O159" s="47"/>
      <c r="P159" s="2"/>
      <c r="Q159" s="2"/>
      <c r="R159" s="2"/>
      <c r="S159" s="2"/>
    </row>
    <row r="160" spans="1:19" ht="15" hidden="1" customHeight="1" outlineLevel="1" x14ac:dyDescent="0.3">
      <c r="A160" s="12">
        <v>5.19</v>
      </c>
      <c r="B160" s="3" t="s">
        <v>179</v>
      </c>
      <c r="C160" s="2"/>
      <c r="D160" s="2"/>
      <c r="E160" s="2"/>
      <c r="F160" s="2" t="s">
        <v>390</v>
      </c>
      <c r="G160" s="2">
        <v>1</v>
      </c>
      <c r="H160" s="2"/>
      <c r="I160" s="2" t="s">
        <v>192</v>
      </c>
      <c r="J160" s="24"/>
      <c r="K160" s="12"/>
      <c r="L160" s="12">
        <v>20</v>
      </c>
      <c r="M160" s="12"/>
      <c r="N160" s="12"/>
      <c r="O160" s="47"/>
      <c r="P160" s="2"/>
      <c r="Q160" s="2"/>
      <c r="R160" s="2"/>
      <c r="S160" s="2"/>
    </row>
    <row r="161" spans="1:19" ht="15" hidden="1" customHeight="1" outlineLevel="1" x14ac:dyDescent="0.3">
      <c r="A161" s="12">
        <v>5.2</v>
      </c>
      <c r="B161" s="3" t="s">
        <v>179</v>
      </c>
      <c r="C161" s="2"/>
      <c r="D161" s="2"/>
      <c r="E161" s="2"/>
      <c r="F161" s="2" t="s">
        <v>391</v>
      </c>
      <c r="G161" s="2">
        <v>1</v>
      </c>
      <c r="H161" s="2"/>
      <c r="I161" s="2" t="s">
        <v>192</v>
      </c>
      <c r="J161" s="24"/>
      <c r="K161" s="12"/>
      <c r="L161" s="12">
        <v>20</v>
      </c>
      <c r="M161" s="12"/>
      <c r="N161" s="12"/>
      <c r="O161" s="47"/>
      <c r="P161" s="2"/>
      <c r="Q161" s="2"/>
      <c r="R161" s="2"/>
      <c r="S161" s="2"/>
    </row>
    <row r="162" spans="1:19" ht="15" customHeight="1" collapsed="1" x14ac:dyDescent="0.3">
      <c r="A162" s="12">
        <v>5.21</v>
      </c>
      <c r="B162" s="3" t="s">
        <v>179</v>
      </c>
      <c r="C162" s="2" t="s">
        <v>21</v>
      </c>
      <c r="D162" s="2" t="s">
        <v>40</v>
      </c>
      <c r="E162" s="2" t="s">
        <v>41</v>
      </c>
      <c r="F162" s="2" t="s">
        <v>41</v>
      </c>
      <c r="G162" s="2">
        <v>2</v>
      </c>
      <c r="H162" s="2" t="s">
        <v>182</v>
      </c>
      <c r="I162" s="2" t="s">
        <v>182</v>
      </c>
      <c r="J162" s="24" t="s">
        <v>193</v>
      </c>
      <c r="K162" s="12"/>
      <c r="L162" s="12">
        <v>535</v>
      </c>
      <c r="M162" s="12"/>
      <c r="N162" s="12">
        <f t="shared" si="12"/>
        <v>1070</v>
      </c>
      <c r="O162" s="47"/>
      <c r="P162" s="2"/>
      <c r="Q162" s="2"/>
      <c r="R162" s="2"/>
      <c r="S162" s="2"/>
    </row>
    <row r="163" spans="1:19" ht="15" customHeight="1" x14ac:dyDescent="0.3">
      <c r="A163" s="12">
        <v>5.22</v>
      </c>
      <c r="B163" s="3" t="s">
        <v>179</v>
      </c>
      <c r="C163" s="2" t="s">
        <v>21</v>
      </c>
      <c r="D163" s="2" t="s">
        <v>88</v>
      </c>
      <c r="E163" s="2"/>
      <c r="F163" s="2" t="s">
        <v>194</v>
      </c>
      <c r="G163" s="2">
        <v>1</v>
      </c>
      <c r="H163" s="2" t="s">
        <v>195</v>
      </c>
      <c r="I163" s="2" t="s">
        <v>182</v>
      </c>
      <c r="J163" s="24" t="s">
        <v>196</v>
      </c>
      <c r="K163" s="12">
        <v>124.45</v>
      </c>
      <c r="L163" s="12">
        <v>148.1</v>
      </c>
      <c r="M163" s="12"/>
      <c r="N163" s="12">
        <f t="shared" si="12"/>
        <v>148.1</v>
      </c>
      <c r="O163" s="47"/>
      <c r="P163" s="2"/>
      <c r="Q163" s="2"/>
      <c r="R163" s="2"/>
      <c r="S163" s="2"/>
    </row>
    <row r="164" spans="1:19" ht="15" customHeight="1" x14ac:dyDescent="0.3">
      <c r="A164" s="12">
        <v>5.23</v>
      </c>
      <c r="B164" s="3" t="s">
        <v>179</v>
      </c>
      <c r="C164" s="2" t="s">
        <v>21</v>
      </c>
      <c r="D164" s="2" t="s">
        <v>88</v>
      </c>
      <c r="E164" s="2"/>
      <c r="F164" s="2" t="s">
        <v>197</v>
      </c>
      <c r="G164" s="2">
        <v>3</v>
      </c>
      <c r="H164" s="2" t="s">
        <v>182</v>
      </c>
      <c r="I164" s="2" t="s">
        <v>182</v>
      </c>
      <c r="J164" s="24" t="s">
        <v>198</v>
      </c>
      <c r="K164" s="12">
        <v>54.99</v>
      </c>
      <c r="L164" s="12">
        <v>65.44</v>
      </c>
      <c r="M164" s="12"/>
      <c r="N164" s="12">
        <f t="shared" si="12"/>
        <v>196.32</v>
      </c>
      <c r="O164" s="47"/>
      <c r="P164" s="2"/>
      <c r="Q164" s="2"/>
      <c r="R164" s="2"/>
      <c r="S164" s="2"/>
    </row>
    <row r="165" spans="1:19" ht="15" customHeight="1" x14ac:dyDescent="0.3">
      <c r="A165" s="12">
        <v>5.2399999999999904</v>
      </c>
      <c r="B165" s="3" t="s">
        <v>179</v>
      </c>
      <c r="C165" s="2" t="s">
        <v>21</v>
      </c>
      <c r="D165" s="2" t="s">
        <v>173</v>
      </c>
      <c r="E165" s="2"/>
      <c r="F165" s="2" t="s">
        <v>199</v>
      </c>
      <c r="G165" s="2">
        <v>6</v>
      </c>
      <c r="H165" s="2" t="s">
        <v>200</v>
      </c>
      <c r="I165" s="2" t="s">
        <v>192</v>
      </c>
      <c r="J165" s="24" t="s">
        <v>201</v>
      </c>
      <c r="K165" s="12"/>
      <c r="L165" s="12">
        <v>194</v>
      </c>
      <c r="M165" s="12"/>
      <c r="N165" s="12">
        <f t="shared" si="12"/>
        <v>1164</v>
      </c>
      <c r="O165" s="47"/>
      <c r="P165" s="2"/>
      <c r="Q165" s="2"/>
      <c r="R165" s="2"/>
      <c r="S165" s="2"/>
    </row>
    <row r="166" spans="1:19" ht="15" customHeight="1" x14ac:dyDescent="0.3">
      <c r="A166" s="12">
        <v>5.2499999999999902</v>
      </c>
      <c r="B166" s="3" t="s">
        <v>179</v>
      </c>
      <c r="C166" s="2" t="s">
        <v>21</v>
      </c>
      <c r="D166" s="2" t="s">
        <v>173</v>
      </c>
      <c r="E166" s="2"/>
      <c r="F166" s="2" t="s">
        <v>392</v>
      </c>
      <c r="G166" s="2"/>
      <c r="H166" s="2"/>
      <c r="I166" s="2" t="s">
        <v>192</v>
      </c>
      <c r="J166" s="24"/>
      <c r="K166" s="12"/>
      <c r="L166" s="12"/>
      <c r="M166" s="12"/>
      <c r="N166" s="12">
        <v>3615.6</v>
      </c>
      <c r="O166" s="47"/>
      <c r="P166" s="2"/>
      <c r="Q166" s="2"/>
      <c r="R166" s="2"/>
      <c r="S166" s="2"/>
    </row>
    <row r="167" spans="1:19" ht="15" hidden="1" customHeight="1" outlineLevel="2" x14ac:dyDescent="0.3">
      <c r="A167" s="12">
        <v>5.25999999999999</v>
      </c>
      <c r="B167" s="3" t="s">
        <v>179</v>
      </c>
      <c r="C167" s="2"/>
      <c r="D167" s="2"/>
      <c r="E167" s="2"/>
      <c r="F167" s="2" t="s">
        <v>368</v>
      </c>
      <c r="G167" s="2">
        <v>1</v>
      </c>
      <c r="H167" s="2"/>
      <c r="I167" s="2" t="s">
        <v>192</v>
      </c>
      <c r="J167" s="24"/>
      <c r="K167" s="12"/>
      <c r="L167" s="12">
        <v>33</v>
      </c>
      <c r="M167" s="12"/>
      <c r="N167" s="12"/>
      <c r="O167" s="47"/>
      <c r="P167" s="2"/>
      <c r="Q167" s="2"/>
      <c r="R167" s="2"/>
      <c r="S167" s="2"/>
    </row>
    <row r="168" spans="1:19" ht="15" hidden="1" customHeight="1" outlineLevel="2" x14ac:dyDescent="0.3">
      <c r="A168" s="12">
        <v>5.2699999999999898</v>
      </c>
      <c r="B168" s="3" t="s">
        <v>179</v>
      </c>
      <c r="C168" s="2"/>
      <c r="D168" s="2"/>
      <c r="E168" s="2"/>
      <c r="F168" s="2" t="s">
        <v>369</v>
      </c>
      <c r="G168" s="2">
        <v>1</v>
      </c>
      <c r="H168" s="2"/>
      <c r="I168" s="2" t="s">
        <v>192</v>
      </c>
      <c r="J168" s="24"/>
      <c r="K168" s="12"/>
      <c r="L168" s="12">
        <v>15.9</v>
      </c>
      <c r="M168" s="12"/>
      <c r="N168" s="12"/>
      <c r="O168" s="47"/>
      <c r="P168" s="2"/>
      <c r="Q168" s="2"/>
      <c r="R168" s="2"/>
      <c r="S168" s="2"/>
    </row>
    <row r="169" spans="1:19" ht="15" hidden="1" customHeight="1" outlineLevel="2" x14ac:dyDescent="0.3">
      <c r="A169" s="12">
        <v>5.2799999999999896</v>
      </c>
      <c r="B169" s="3" t="s">
        <v>179</v>
      </c>
      <c r="C169" s="2"/>
      <c r="D169" s="2"/>
      <c r="E169" s="2"/>
      <c r="F169" s="2" t="s">
        <v>370</v>
      </c>
      <c r="G169" s="2">
        <v>2</v>
      </c>
      <c r="H169" s="2"/>
      <c r="I169" s="2" t="s">
        <v>192</v>
      </c>
      <c r="J169" s="24"/>
      <c r="K169" s="12"/>
      <c r="L169" s="12">
        <v>8.9</v>
      </c>
      <c r="M169" s="12"/>
      <c r="N169" s="12"/>
      <c r="O169" s="47"/>
      <c r="P169" s="2"/>
      <c r="Q169" s="2"/>
      <c r="R169" s="2"/>
      <c r="S169" s="2"/>
    </row>
    <row r="170" spans="1:19" ht="15" hidden="1" customHeight="1" outlineLevel="2" x14ac:dyDescent="0.3">
      <c r="A170" s="12">
        <v>5.2899999999999903</v>
      </c>
      <c r="B170" s="3" t="s">
        <v>179</v>
      </c>
      <c r="C170" s="2"/>
      <c r="D170" s="2"/>
      <c r="E170" s="2"/>
      <c r="F170" s="2" t="s">
        <v>371</v>
      </c>
      <c r="G170" s="2">
        <v>1</v>
      </c>
      <c r="H170" s="2"/>
      <c r="I170" s="2" t="s">
        <v>192</v>
      </c>
      <c r="J170" s="24"/>
      <c r="K170" s="12"/>
      <c r="L170" s="12">
        <v>118</v>
      </c>
      <c r="M170" s="12"/>
      <c r="N170" s="12"/>
      <c r="O170" s="47"/>
      <c r="P170" s="2"/>
      <c r="Q170" s="2"/>
      <c r="R170" s="2"/>
      <c r="S170" s="2"/>
    </row>
    <row r="171" spans="1:19" ht="15" hidden="1" customHeight="1" outlineLevel="2" x14ac:dyDescent="0.3">
      <c r="A171" s="12">
        <v>5.2999999999999901</v>
      </c>
      <c r="B171" s="3" t="s">
        <v>179</v>
      </c>
      <c r="C171" s="2"/>
      <c r="D171" s="2"/>
      <c r="E171" s="2"/>
      <c r="F171" s="2" t="s">
        <v>372</v>
      </c>
      <c r="G171" s="2">
        <v>2</v>
      </c>
      <c r="H171" s="2"/>
      <c r="I171" s="2" t="s">
        <v>192</v>
      </c>
      <c r="J171" s="24"/>
      <c r="K171" s="12"/>
      <c r="L171" s="12">
        <v>83</v>
      </c>
      <c r="M171" s="12"/>
      <c r="N171" s="12"/>
      <c r="O171" s="47"/>
      <c r="P171" s="2"/>
      <c r="Q171" s="2"/>
      <c r="R171" s="2"/>
      <c r="S171" s="2"/>
    </row>
    <row r="172" spans="1:19" ht="15" hidden="1" customHeight="1" outlineLevel="2" x14ac:dyDescent="0.3">
      <c r="A172" s="12">
        <v>5.3099999999999898</v>
      </c>
      <c r="B172" s="3" t="s">
        <v>179</v>
      </c>
      <c r="C172" s="2"/>
      <c r="D172" s="2"/>
      <c r="E172" s="2"/>
      <c r="F172" s="2" t="s">
        <v>373</v>
      </c>
      <c r="G172" s="2">
        <v>4</v>
      </c>
      <c r="H172" s="2"/>
      <c r="I172" s="2" t="s">
        <v>192</v>
      </c>
      <c r="J172" s="24"/>
      <c r="K172" s="12"/>
      <c r="L172" s="12">
        <v>18</v>
      </c>
      <c r="M172" s="12"/>
      <c r="N172" s="12"/>
      <c r="O172" s="47"/>
      <c r="P172" s="2"/>
      <c r="Q172" s="2"/>
      <c r="R172" s="2"/>
      <c r="S172" s="2"/>
    </row>
    <row r="173" spans="1:19" ht="15" hidden="1" customHeight="1" outlineLevel="2" x14ac:dyDescent="0.3">
      <c r="A173" s="12">
        <v>5.3199999999999896</v>
      </c>
      <c r="B173" s="3" t="s">
        <v>179</v>
      </c>
      <c r="C173" s="2"/>
      <c r="D173" s="2"/>
      <c r="E173" s="2"/>
      <c r="F173" s="2" t="s">
        <v>374</v>
      </c>
      <c r="G173" s="2">
        <v>1</v>
      </c>
      <c r="H173" s="2"/>
      <c r="I173" s="2" t="s">
        <v>192</v>
      </c>
      <c r="J173" s="24"/>
      <c r="K173" s="12"/>
      <c r="L173" s="12">
        <v>4.9000000000000004</v>
      </c>
      <c r="M173" s="12"/>
      <c r="N173" s="12"/>
      <c r="O173" s="47"/>
      <c r="P173" s="2"/>
      <c r="Q173" s="2"/>
      <c r="R173" s="2"/>
      <c r="S173" s="2"/>
    </row>
    <row r="174" spans="1:19" ht="15" hidden="1" customHeight="1" outlineLevel="2" x14ac:dyDescent="0.3">
      <c r="A174" s="12">
        <v>5.3299999999999903</v>
      </c>
      <c r="B174" s="3" t="s">
        <v>179</v>
      </c>
      <c r="C174" s="2"/>
      <c r="D174" s="2"/>
      <c r="E174" s="2"/>
      <c r="F174" s="2" t="s">
        <v>375</v>
      </c>
      <c r="G174" s="2">
        <v>4</v>
      </c>
      <c r="H174" s="2"/>
      <c r="I174" s="2" t="s">
        <v>192</v>
      </c>
      <c r="J174" s="24"/>
      <c r="K174" s="12"/>
      <c r="L174" s="12">
        <v>779</v>
      </c>
      <c r="M174" s="12"/>
      <c r="N174" s="12"/>
      <c r="O174" s="47"/>
      <c r="P174" s="2"/>
      <c r="Q174" s="2"/>
      <c r="R174" s="2"/>
      <c r="S174" s="2"/>
    </row>
    <row r="175" spans="1:19" ht="15" hidden="1" customHeight="1" outlineLevel="2" x14ac:dyDescent="0.3">
      <c r="A175" s="12">
        <v>5.3399999999999901</v>
      </c>
      <c r="B175" s="3" t="s">
        <v>179</v>
      </c>
      <c r="C175" s="2"/>
      <c r="D175" s="2"/>
      <c r="E175" s="2"/>
      <c r="F175" s="2" t="s">
        <v>376</v>
      </c>
      <c r="G175" s="2">
        <v>2</v>
      </c>
      <c r="H175" s="2"/>
      <c r="I175" s="2" t="s">
        <v>192</v>
      </c>
      <c r="J175" s="24"/>
      <c r="K175" s="12"/>
      <c r="L175" s="12">
        <v>21</v>
      </c>
      <c r="M175" s="12"/>
      <c r="N175" s="12"/>
      <c r="O175" s="47"/>
      <c r="P175" s="2"/>
      <c r="Q175" s="2"/>
      <c r="R175" s="2"/>
      <c r="S175" s="2"/>
    </row>
    <row r="176" spans="1:19" ht="15" hidden="1" customHeight="1" outlineLevel="2" x14ac:dyDescent="0.3">
      <c r="A176" s="12">
        <v>5.3499999999999899</v>
      </c>
      <c r="B176" s="3" t="s">
        <v>179</v>
      </c>
      <c r="C176" s="2"/>
      <c r="D176" s="2"/>
      <c r="E176" s="2"/>
      <c r="F176" s="2" t="s">
        <v>377</v>
      </c>
      <c r="G176" s="2">
        <v>1</v>
      </c>
      <c r="H176" s="2"/>
      <c r="I176" s="2" t="s">
        <v>192</v>
      </c>
      <c r="J176" s="24"/>
      <c r="K176" s="12"/>
      <c r="L176" s="12">
        <v>30</v>
      </c>
      <c r="M176" s="12"/>
      <c r="N176" s="12"/>
      <c r="O176" s="47"/>
      <c r="P176" s="2"/>
      <c r="Q176" s="2"/>
      <c r="R176" s="2"/>
      <c r="S176" s="2"/>
    </row>
    <row r="177" spans="1:19" ht="15" customHeight="1" collapsed="1" x14ac:dyDescent="0.3">
      <c r="A177" s="12">
        <v>5.3599999999999897</v>
      </c>
      <c r="B177" s="3" t="s">
        <v>179</v>
      </c>
      <c r="C177" s="2" t="s">
        <v>21</v>
      </c>
      <c r="D177" s="18" t="s">
        <v>357</v>
      </c>
      <c r="E177" s="18" t="s">
        <v>18</v>
      </c>
      <c r="F177" s="18" t="s">
        <v>394</v>
      </c>
      <c r="G177" s="2">
        <v>1</v>
      </c>
      <c r="H177" s="2"/>
      <c r="I177" s="2" t="s">
        <v>448</v>
      </c>
      <c r="J177" s="24" t="s">
        <v>301</v>
      </c>
      <c r="K177" s="12">
        <v>4522.28</v>
      </c>
      <c r="L177" s="12">
        <v>5381.51</v>
      </c>
      <c r="M177" s="12"/>
      <c r="N177" s="12">
        <f t="shared" si="12"/>
        <v>5381.51</v>
      </c>
      <c r="O177" s="47"/>
      <c r="P177" s="2"/>
      <c r="Q177" s="2"/>
      <c r="R177" s="2"/>
      <c r="S177" s="2"/>
    </row>
    <row r="178" spans="1:19" ht="15" customHeight="1" x14ac:dyDescent="0.3">
      <c r="A178" s="12">
        <v>6.01</v>
      </c>
      <c r="B178" s="3" t="s">
        <v>204</v>
      </c>
      <c r="C178" s="2" t="s">
        <v>21</v>
      </c>
      <c r="D178" s="2" t="s">
        <v>357</v>
      </c>
      <c r="E178" s="2" t="s">
        <v>154</v>
      </c>
      <c r="F178" s="2" t="s">
        <v>154</v>
      </c>
      <c r="G178" s="2">
        <v>1</v>
      </c>
      <c r="H178" s="2"/>
      <c r="I178" s="2"/>
      <c r="J178" s="3"/>
      <c r="K178" s="12"/>
      <c r="L178" s="42">
        <v>800</v>
      </c>
      <c r="M178" s="41"/>
      <c r="N178" s="41">
        <f>SUM(G178*L178)</f>
        <v>800</v>
      </c>
      <c r="O178" s="47"/>
      <c r="P178" s="2"/>
      <c r="Q178" s="2"/>
      <c r="R178" s="2"/>
      <c r="S178" s="2"/>
    </row>
    <row r="179" spans="1:19" ht="15" customHeight="1" x14ac:dyDescent="0.3">
      <c r="A179" s="12">
        <v>6.02</v>
      </c>
      <c r="B179" s="3" t="s">
        <v>204</v>
      </c>
      <c r="C179" s="2" t="s">
        <v>21</v>
      </c>
      <c r="D179" s="2" t="s">
        <v>357</v>
      </c>
      <c r="E179" s="2" t="s">
        <v>6</v>
      </c>
      <c r="F179" s="2" t="s">
        <v>6</v>
      </c>
      <c r="G179" s="2">
        <v>4</v>
      </c>
      <c r="H179" s="2"/>
      <c r="I179" s="2"/>
      <c r="J179" s="3"/>
      <c r="K179" s="12"/>
      <c r="L179" s="42">
        <v>300</v>
      </c>
      <c r="M179" s="41"/>
      <c r="N179" s="41">
        <f>SUM(G179*L179)</f>
        <v>1200</v>
      </c>
      <c r="O179" s="47"/>
      <c r="P179" s="2"/>
      <c r="Q179" s="2"/>
      <c r="R179" s="2"/>
      <c r="S179" s="2"/>
    </row>
    <row r="180" spans="1:19" ht="15" customHeight="1" x14ac:dyDescent="0.3">
      <c r="A180" s="12">
        <v>6.03</v>
      </c>
      <c r="B180" s="3" t="s">
        <v>204</v>
      </c>
      <c r="C180" s="2" t="s">
        <v>21</v>
      </c>
      <c r="D180" s="2" t="s">
        <v>357</v>
      </c>
      <c r="E180" s="2" t="s">
        <v>355</v>
      </c>
      <c r="F180" s="6" t="s">
        <v>209</v>
      </c>
      <c r="G180" s="2">
        <v>1</v>
      </c>
      <c r="H180" s="2" t="s">
        <v>30</v>
      </c>
      <c r="I180" s="2" t="s">
        <v>19</v>
      </c>
      <c r="J180" s="29" t="s">
        <v>31</v>
      </c>
      <c r="K180" s="12"/>
      <c r="L180" s="12">
        <v>859.99</v>
      </c>
      <c r="M180" s="12"/>
      <c r="N180" s="12">
        <f>SUM(G180*L180)</f>
        <v>859.99</v>
      </c>
      <c r="O180" s="47"/>
      <c r="P180" s="2"/>
      <c r="Q180" s="2"/>
      <c r="R180" s="2"/>
      <c r="S180" s="2"/>
    </row>
    <row r="181" spans="1:19" ht="15" customHeight="1" x14ac:dyDescent="0.3">
      <c r="A181" s="12">
        <v>6.04</v>
      </c>
      <c r="B181" s="3" t="s">
        <v>204</v>
      </c>
      <c r="C181" s="2" t="s">
        <v>21</v>
      </c>
      <c r="D181" s="2" t="s">
        <v>357</v>
      </c>
      <c r="E181" s="2" t="s">
        <v>157</v>
      </c>
      <c r="F181" s="2" t="s">
        <v>205</v>
      </c>
      <c r="G181" s="2">
        <v>1</v>
      </c>
      <c r="H181" s="2"/>
      <c r="I181" s="2"/>
      <c r="J181" s="3"/>
      <c r="K181" s="12"/>
      <c r="L181" s="12">
        <v>1000</v>
      </c>
      <c r="M181" s="12"/>
      <c r="N181" s="12">
        <f>SUM(G181*L181)</f>
        <v>1000</v>
      </c>
      <c r="O181" s="47"/>
      <c r="P181" s="2"/>
      <c r="Q181" s="2"/>
      <c r="R181" s="2"/>
      <c r="S181" s="2"/>
    </row>
    <row r="182" spans="1:19" ht="15" customHeight="1" x14ac:dyDescent="0.3">
      <c r="A182" s="12">
        <v>6.05</v>
      </c>
      <c r="B182" s="3" t="s">
        <v>204</v>
      </c>
      <c r="C182" s="2" t="s">
        <v>21</v>
      </c>
      <c r="D182" s="2" t="s">
        <v>357</v>
      </c>
      <c r="E182" s="2" t="s">
        <v>219</v>
      </c>
      <c r="F182" s="2" t="s">
        <v>207</v>
      </c>
      <c r="G182" s="2">
        <v>2</v>
      </c>
      <c r="H182" s="2"/>
      <c r="I182" s="2"/>
      <c r="J182" s="3"/>
      <c r="K182" s="12"/>
      <c r="L182" s="12" t="s">
        <v>217</v>
      </c>
      <c r="M182" s="12"/>
      <c r="N182" s="12"/>
      <c r="O182" s="47"/>
      <c r="P182" s="2"/>
      <c r="Q182" s="2"/>
      <c r="R182" s="2"/>
      <c r="S182" s="2"/>
    </row>
    <row r="183" spans="1:19" ht="15" customHeight="1" x14ac:dyDescent="0.3">
      <c r="A183" s="12">
        <v>6.06</v>
      </c>
      <c r="B183" s="3" t="s">
        <v>204</v>
      </c>
      <c r="C183" s="2" t="s">
        <v>21</v>
      </c>
      <c r="D183" s="2" t="s">
        <v>357</v>
      </c>
      <c r="E183" s="2"/>
      <c r="F183" s="7" t="s">
        <v>206</v>
      </c>
      <c r="G183" s="2">
        <v>1</v>
      </c>
      <c r="H183" s="2"/>
      <c r="I183" s="2"/>
      <c r="J183" s="3"/>
      <c r="K183" s="12"/>
      <c r="L183" s="12" t="s">
        <v>217</v>
      </c>
      <c r="M183" s="12"/>
      <c r="N183" s="12"/>
      <c r="O183" s="47"/>
      <c r="P183" s="2"/>
      <c r="Q183" s="2"/>
      <c r="R183" s="2"/>
      <c r="S183" s="2"/>
    </row>
    <row r="184" spans="1:19" ht="15" customHeight="1" x14ac:dyDescent="0.3">
      <c r="A184" s="12">
        <v>6.07</v>
      </c>
      <c r="B184" s="3" t="s">
        <v>204</v>
      </c>
      <c r="C184" s="2" t="s">
        <v>21</v>
      </c>
      <c r="D184" s="2" t="s">
        <v>74</v>
      </c>
      <c r="E184" s="2" t="s">
        <v>15</v>
      </c>
      <c r="F184" s="2"/>
      <c r="G184" s="2">
        <v>1</v>
      </c>
      <c r="H184" s="2"/>
      <c r="I184" s="2"/>
      <c r="J184" s="3"/>
      <c r="K184" s="12"/>
      <c r="L184" s="12">
        <v>1000</v>
      </c>
      <c r="M184" s="12"/>
      <c r="N184" s="12">
        <f>SUM(G184*L184)</f>
        <v>1000</v>
      </c>
      <c r="O184" s="47"/>
      <c r="P184" s="2"/>
      <c r="Q184" s="2"/>
      <c r="R184" s="2"/>
      <c r="S184" s="2"/>
    </row>
    <row r="185" spans="1:19" ht="15" customHeight="1" x14ac:dyDescent="0.3">
      <c r="A185" s="12">
        <v>6.08</v>
      </c>
      <c r="B185" s="3" t="s">
        <v>204</v>
      </c>
      <c r="C185" s="2" t="s">
        <v>21</v>
      </c>
      <c r="D185" s="2" t="s">
        <v>357</v>
      </c>
      <c r="E185" s="2" t="s">
        <v>18</v>
      </c>
      <c r="F185" s="2" t="s">
        <v>356</v>
      </c>
      <c r="G185" s="2">
        <v>1</v>
      </c>
      <c r="H185" s="2"/>
      <c r="I185" s="2"/>
      <c r="J185" s="3"/>
      <c r="K185" s="12"/>
      <c r="L185" s="12" t="s">
        <v>217</v>
      </c>
      <c r="M185" s="12"/>
      <c r="N185" s="12"/>
      <c r="O185" s="47"/>
      <c r="P185" s="2"/>
      <c r="Q185" s="2"/>
      <c r="R185" s="2"/>
      <c r="S185" s="2"/>
    </row>
    <row r="186" spans="1:19" ht="15" customHeight="1" x14ac:dyDescent="0.3">
      <c r="A186" s="12">
        <v>6.09</v>
      </c>
      <c r="B186" s="3" t="s">
        <v>204</v>
      </c>
      <c r="C186" s="2" t="s">
        <v>21</v>
      </c>
      <c r="D186" s="2" t="s">
        <v>251</v>
      </c>
      <c r="E186" s="2"/>
      <c r="F186" s="2" t="s">
        <v>208</v>
      </c>
      <c r="G186" s="2">
        <v>1</v>
      </c>
      <c r="H186" s="8"/>
      <c r="I186" s="2"/>
      <c r="J186" s="3"/>
      <c r="K186" s="12"/>
      <c r="L186" s="12" t="s">
        <v>217</v>
      </c>
      <c r="M186" s="12"/>
      <c r="N186" s="12"/>
      <c r="O186" s="47"/>
      <c r="P186" s="2"/>
      <c r="Q186" s="2"/>
      <c r="R186" s="2"/>
      <c r="S186" s="2"/>
    </row>
    <row r="187" spans="1:19" ht="15" customHeight="1" x14ac:dyDescent="0.3">
      <c r="A187" s="12">
        <v>6.1</v>
      </c>
      <c r="B187" s="3" t="s">
        <v>204</v>
      </c>
      <c r="C187" s="2" t="s">
        <v>21</v>
      </c>
      <c r="D187" s="2" t="s">
        <v>357</v>
      </c>
      <c r="E187" s="2"/>
      <c r="F187" s="2" t="s">
        <v>210</v>
      </c>
      <c r="G187" s="2"/>
      <c r="H187" s="2"/>
      <c r="I187" s="2"/>
      <c r="J187" s="3"/>
      <c r="K187" s="12"/>
      <c r="L187" s="12"/>
      <c r="M187" s="12"/>
      <c r="N187" s="12">
        <v>200</v>
      </c>
      <c r="O187" s="47"/>
      <c r="P187" s="2"/>
      <c r="Q187" s="2"/>
      <c r="R187" s="2"/>
      <c r="S187" s="2"/>
    </row>
    <row r="188" spans="1:19" ht="15" customHeight="1" x14ac:dyDescent="0.3">
      <c r="A188" s="12">
        <v>6.11</v>
      </c>
      <c r="B188" s="3" t="s">
        <v>204</v>
      </c>
      <c r="C188" s="2" t="s">
        <v>21</v>
      </c>
      <c r="D188" s="2" t="s">
        <v>98</v>
      </c>
      <c r="E188" s="2"/>
      <c r="F188" s="2" t="s">
        <v>211</v>
      </c>
      <c r="G188" s="2"/>
      <c r="H188" s="2"/>
      <c r="I188" s="2"/>
      <c r="J188" s="3"/>
      <c r="K188" s="12"/>
      <c r="L188" s="12"/>
      <c r="M188" s="12"/>
      <c r="N188" s="12">
        <v>22000</v>
      </c>
      <c r="O188" s="47"/>
      <c r="P188" s="2"/>
      <c r="Q188" s="2"/>
      <c r="R188" s="2"/>
      <c r="S188" s="2"/>
    </row>
    <row r="189" spans="1:19" ht="15" customHeight="1" x14ac:dyDescent="0.3">
      <c r="A189" s="12">
        <v>6.12</v>
      </c>
      <c r="B189" s="3" t="s">
        <v>204</v>
      </c>
      <c r="C189" s="2" t="s">
        <v>21</v>
      </c>
      <c r="D189" s="2" t="s">
        <v>74</v>
      </c>
      <c r="E189" s="2"/>
      <c r="F189" s="2" t="s">
        <v>212</v>
      </c>
      <c r="G189" s="2"/>
      <c r="H189" s="2"/>
      <c r="I189" s="2"/>
      <c r="J189" s="3"/>
      <c r="K189" s="12"/>
      <c r="L189" s="12"/>
      <c r="M189" s="12"/>
      <c r="N189" s="12">
        <v>500</v>
      </c>
      <c r="O189" s="47"/>
      <c r="P189" s="2"/>
      <c r="Q189" s="2"/>
      <c r="R189" s="2"/>
      <c r="S189" s="2"/>
    </row>
    <row r="190" spans="1:19" ht="15" customHeight="1" x14ac:dyDescent="0.3">
      <c r="A190" s="12">
        <v>6.13</v>
      </c>
      <c r="B190" s="3" t="s">
        <v>204</v>
      </c>
      <c r="C190" s="2" t="s">
        <v>21</v>
      </c>
      <c r="D190" s="2" t="s">
        <v>74</v>
      </c>
      <c r="E190" s="2"/>
      <c r="F190" s="2" t="s">
        <v>213</v>
      </c>
      <c r="G190" s="2">
        <v>1</v>
      </c>
      <c r="H190" s="2"/>
      <c r="I190" s="2"/>
      <c r="J190" s="3"/>
      <c r="K190" s="12"/>
      <c r="L190" s="12"/>
      <c r="M190" s="12"/>
      <c r="N190" s="12">
        <f>SUM(G190*L190)</f>
        <v>0</v>
      </c>
      <c r="O190" s="47"/>
      <c r="P190" s="2"/>
      <c r="Q190" s="2"/>
      <c r="R190" s="2"/>
      <c r="S190" s="2"/>
    </row>
    <row r="191" spans="1:19" ht="15" customHeight="1" x14ac:dyDescent="0.3">
      <c r="A191" s="12">
        <v>6.14</v>
      </c>
      <c r="B191" s="3" t="s">
        <v>204</v>
      </c>
      <c r="C191" s="2" t="s">
        <v>21</v>
      </c>
      <c r="D191" s="2" t="s">
        <v>74</v>
      </c>
      <c r="E191" s="2"/>
      <c r="F191" s="2" t="s">
        <v>214</v>
      </c>
      <c r="G191" s="2"/>
      <c r="H191" s="2"/>
      <c r="I191" s="2"/>
      <c r="J191" s="3"/>
      <c r="K191" s="12"/>
      <c r="L191" s="12"/>
      <c r="M191" s="12"/>
      <c r="N191" s="12">
        <v>0</v>
      </c>
      <c r="O191" s="47"/>
      <c r="P191" s="2"/>
      <c r="Q191" s="2"/>
      <c r="R191" s="2"/>
      <c r="S191" s="2"/>
    </row>
    <row r="192" spans="1:19" ht="15" customHeight="1" x14ac:dyDescent="0.3">
      <c r="A192" s="12">
        <v>6.15</v>
      </c>
      <c r="B192" s="3" t="s">
        <v>204</v>
      </c>
      <c r="C192" s="2" t="s">
        <v>21</v>
      </c>
      <c r="D192" s="2" t="s">
        <v>40</v>
      </c>
      <c r="E192" s="2" t="s">
        <v>17</v>
      </c>
      <c r="F192" s="2" t="s">
        <v>215</v>
      </c>
      <c r="G192" s="2">
        <v>1</v>
      </c>
      <c r="H192" s="2"/>
      <c r="I192" s="2"/>
      <c r="J192" s="3"/>
      <c r="K192" s="12"/>
      <c r="L192" s="12"/>
      <c r="M192" s="12"/>
      <c r="N192" s="12">
        <f>SUM(G192*L192)</f>
        <v>0</v>
      </c>
      <c r="O192" s="47"/>
      <c r="P192" s="2"/>
      <c r="Q192" s="2"/>
      <c r="R192" s="2"/>
      <c r="S192" s="2"/>
    </row>
    <row r="193" spans="1:19" ht="15" customHeight="1" x14ac:dyDescent="0.3">
      <c r="A193" s="12">
        <v>6.16</v>
      </c>
      <c r="B193" s="3" t="s">
        <v>204</v>
      </c>
      <c r="C193" s="2" t="s">
        <v>21</v>
      </c>
      <c r="D193" s="2" t="s">
        <v>169</v>
      </c>
      <c r="E193" s="2"/>
      <c r="F193" s="2" t="s">
        <v>216</v>
      </c>
      <c r="G193" s="2">
        <v>1</v>
      </c>
      <c r="H193" s="2"/>
      <c r="I193" s="2"/>
      <c r="J193" s="3"/>
      <c r="K193" s="12"/>
      <c r="L193" s="12"/>
      <c r="M193" s="12"/>
      <c r="N193" s="12">
        <f>SUM(G193*L193)</f>
        <v>0</v>
      </c>
      <c r="O193" s="47"/>
      <c r="P193" s="2"/>
      <c r="Q193" s="2"/>
      <c r="R193" s="2"/>
      <c r="S193" s="2"/>
    </row>
  </sheetData>
  <phoneticPr fontId="9" type="noConversion"/>
  <conditionalFormatting sqref="D1:D47 D49:D1048576">
    <cfRule type="cellIs" dxfId="9" priority="2" operator="equal">
      <formula>"Dienstleistung"</formula>
    </cfRule>
  </conditionalFormatting>
  <conditionalFormatting sqref="E1:F47 E49:F133 E134:E140 E141:F1048576">
    <cfRule type="cellIs" dxfId="8" priority="5" operator="equal">
      <formula>"Dienstleistung"</formula>
    </cfRule>
  </conditionalFormatting>
  <conditionalFormatting sqref="Z1:Z47 Z49:Z1048576">
    <cfRule type="cellIs" dxfId="7" priority="6" stopIfTrue="1" operator="equal">
      <formula>"Elektrogeräte"</formula>
    </cfRule>
    <cfRule type="cellIs" dxfId="6" priority="7" stopIfTrue="1" operator="equal">
      <formula>"Möbel"</formula>
    </cfRule>
    <cfRule type="cellIs" dxfId="5" priority="9" stopIfTrue="1" operator="equal">
      <formula>"Analoge Technikergänzung"</formula>
    </cfRule>
    <cfRule type="cellIs" dxfId="4" priority="10" stopIfTrue="1" operator="equal">
      <formula>"Orga/Büroausstattung/Archiv"</formula>
    </cfRule>
    <cfRule type="cellIs" dxfId="3" priority="13" stopIfTrue="1" operator="equal">
      <formula>"Tablet"</formula>
    </cfRule>
    <cfRule type="cellIs" dxfId="2" priority="14" stopIfTrue="1" operator="equal">
      <formula>"Beamer"</formula>
    </cfRule>
    <cfRule type="containsText" dxfId="1" priority="15" stopIfTrue="1" operator="containsText" text="Dienstleistung">
      <formula>NOT(ISERROR(SEARCH("Dienstleistung",Z1)))</formula>
    </cfRule>
    <cfRule type="containsText" dxfId="0" priority="16" stopIfTrue="1" operator="containsText" text="Dienstleistung">
      <formula>NOT(ISERROR(SEARCH("Dienstleistung",Z1)))</formula>
    </cfRule>
  </conditionalFormatting>
  <hyperlinks>
    <hyperlink ref="J4" r:id="rId1" display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" xr:uid="{31F16A12-C768-4652-9B32-9AAB18DE6C53}"/>
    <hyperlink ref="J5" r:id="rId2" xr:uid="{AE96B31D-4DC7-4F52-A5B1-4840D4C94775}"/>
    <hyperlink ref="J10" r:id="rId3" xr:uid="{F5EA1C48-D19F-4659-B144-73706C87F074}"/>
    <hyperlink ref="J14" r:id="rId4" display="https://www.apple.com/de/shop/product/MXK53Z/A/magic-mouse-usb%E2%80%91c-weiße-multi-touch-oberfläche?fnode=d2c80cfc3ca4c981ae96f4088cc087cb61c51dd962dc386db44b315d13a98efb8a5d1c6699d2bdd5459f8f8a274d4fdafcbe02a504fb4f87a0c4dc7196fdf40239038fe7659114c78adc869ddbb349a1de37cec56c4a4c22cc123f984aa3a4f1" xr:uid="{B222FDBC-457E-4CF1-AEB2-0280CDB80EFD}"/>
    <hyperlink ref="J15" r:id="rId5" xr:uid="{776361AE-9F3D-431A-B98D-50BF67224B2D}"/>
    <hyperlink ref="J16" r:id="rId6" display="https://www.conrad.de/de/p/celexon-leinwand-rollo-economy-240-x-180-cm-118-562483.html?insert_kz=VQ&amp;hk=SEM&amp;WT.mc_id=google_pla&amp;qwer=CjwKCAjwup3HBhAAEiwA7euZuvdWLj0SNmQOtnmiT5D46BhlPWYZvuvbTSMlXP79P2aAMRCy_Wa3YxoCpx0QAvD_BwE&amp;utm_source=google&amp;utm_medium=cpc&amp;utm_campaign=DE%20-%20PMAX%20-%20Nonbrand%20-%20Learning&amp;utm_id=20402606569&amp;gad_source=1&amp;gad_campaignid=20392975386&amp;gbraid=0AAAAAD1-3H7azEKnXypDU74RaXHME7fia&amp;gclid=CjwKCAjwup3HBhAAEiwA7euZuvdWLj0SNmQOtnmiT5D46BhlPWYZvuvbTSMlXP79P2aAMRCy_Wa3YxoCpx0QAvD_BwE" xr:uid="{B1403704-60AD-41CD-80BE-8773932AD366}"/>
    <hyperlink ref="J17" r:id="rId7" xr:uid="{DF263911-CAC1-43C1-9A43-27E6315E18D4}"/>
    <hyperlink ref="J18" r:id="rId8" xr:uid="{9C178CBF-7E9F-420A-9994-023AD12BFF72}"/>
    <hyperlink ref="J20" r:id="rId9" xr:uid="{6DC27961-0A2E-4888-AAC3-945FB41424CC}"/>
    <hyperlink ref="J6" r:id="rId10" xr:uid="{8CC72FD9-8B2D-4352-AA1F-A8B6D8CA225B}"/>
    <hyperlink ref="J7" r:id="rId11" display="https://www.ggmgastro.com/de-de-eur/lagerkuehlschrank-eco-200-liter-mit-1-tuer-innenseite-der-tuer-aus-kunststoff-schwarz-ksbl200?utm_source=google&amp;utm_medium=cpc&amp;utm_campaign=alle-produkte&amp;utm_content=klarna&amp;utm_term=KSBL200&amp;gad_source=1&amp;gad_campaignid=22113631619&amp;gbraid=0AAAAA9Sy9AnQBjrsF4B8RiQBEN2myHD1U&amp;gclid=CjwKCAjwup3HBhAAEiwA7euZulUNzfZl3DWlku1pKLxDgZVk9f5865yqnLRu_ejbIpwNJvUZIEIrkxoCYPoQAvD_BwE" xr:uid="{D7894617-4E7E-40F5-A0F4-136797CDFD35}"/>
    <hyperlink ref="J9" r:id="rId12" xr:uid="{0C5CE77A-E8AD-4D50-87F7-FFEF33256CDC}"/>
    <hyperlink ref="J27" r:id="rId13" xr:uid="{D12868C7-ACDB-4805-9723-774F51AC4777}"/>
    <hyperlink ref="J32" r:id="rId14" xr:uid="{D8D3E9C6-0C26-47BF-8EB2-069E975119B2}"/>
    <hyperlink ref="J31" r:id="rId15" xr:uid="{71C16BE5-08AD-4F04-AC5A-DE72561BF141}"/>
    <hyperlink ref="J35" r:id="rId16" xr:uid="{2EEFE619-2ACA-4E7F-80CD-537B9096C61D}"/>
    <hyperlink ref="J40" r:id="rId17" xr:uid="{FC7756DD-3D5D-469E-8B11-14276ECFD5AB}"/>
    <hyperlink ref="J38" r:id="rId18" xr:uid="{27092FEB-798E-4148-BA8A-02D0975FD70E}"/>
    <hyperlink ref="J39" r:id="rId19" xr:uid="{E7FA6D71-91B1-49AB-910D-F23363BEAA73}"/>
    <hyperlink ref="J45" r:id="rId20" xr:uid="{CB7BBF2F-4A9D-4A5F-A4C3-FD8A83420F12}"/>
    <hyperlink ref="J46" r:id="rId21" xr:uid="{6C7F019F-4013-4885-A15C-392EC61FDF95}"/>
    <hyperlink ref="J26" r:id="rId22" xr:uid="{4133BAF4-CB69-4A8C-96A5-D757128162BB}"/>
    <hyperlink ref="J25" r:id="rId23" xr:uid="{AC6F61E6-F637-491F-83F6-09FDEBE1A3BC}"/>
    <hyperlink ref="J24" r:id="rId24" xr:uid="{5662CC43-C437-4B8F-9F81-ED0594208131}"/>
    <hyperlink ref="J23" r:id="rId25" xr:uid="{C21FE9B3-9A99-44DB-9D1F-C6B4D5AAB176}"/>
    <hyperlink ref="J22" r:id="rId26" xr:uid="{16CCC494-7581-4342-BA46-CA9DBB8B2499}"/>
    <hyperlink ref="J21" r:id="rId27" display="https://www.schaefer-shop.de/p/sparset-maul-flipchart-solid-fahrbar-hoehenverstellbar-gratis-1-block-und-4-stifte?selectedItem=166474&amp;b2borb2c=1&amp;gshop=1&amp;alw=1319-1332-2488-3418_166474&amp;kb=ga_pm_20282185109_&amp;cc=A065954&amp;gkw=&amp;track=v44*&amp;mch2=gsad&amp;gad_source=1&amp;gad_campaignid=20286857659&amp;gbraid=0AAAAAD8KVerAQCmzDCy4iZVZ2Z6-gwdtU&amp;gclid=CjwKCAjwup3HBhAAEiwA7euZujx4m6s4BG4zG_iRVhZ3kpaOnZyCyqGjcDQMHNNd4xHlQchw1AOpwxoC-J8QAvD_BwE" xr:uid="{5747734C-59EA-465D-B638-906E4A9A1237}"/>
    <hyperlink ref="J19" r:id="rId28" display="https://www.mediamarkt.de/de/product/_jbl-partybox-710-2734750.html?storeId=420&amp;utm_source=google&amp;utm_medium=cpc&amp;utm_campaign=RT_shopping_na_nsp_na_PLA+-+bluePortal+4+PMax&amp;gclsrc=aw.ds&amp;gad_source=1&amp;gad_campaignid=19783697924&amp;gbraid=0AAAAADh5KahXps5qCZzUhBE5r6wKxf1IA&amp;gclid=CjwKCAjwup3HBhAAEiwA7euZujRugukbUeyEGrjPlze1ygI0GIoSMW51JBGSUrndoMllqCFIy5a1oxoCfU0QAvD_BwE" xr:uid="{275F3618-C636-4F78-944F-95A78DA4AC2F}"/>
    <hyperlink ref="J13" r:id="rId29" xr:uid="{8A51E579-13E7-4730-8FDD-182EF67CB0EA}"/>
    <hyperlink ref="J12" r:id="rId30" xr:uid="{23EB1D4C-2A4A-4DAE-84DC-8300E6EEE7A2}"/>
    <hyperlink ref="J11" r:id="rId31" display="https://www.apple.com/de/shop/product/MX2D3ZM/A/apple-pencil-pro?fnode=2f418c8d1aed5350c7c7bcec29dcc1a9995e6dfd72e1e010114488550e43e4a84769ca95cf066c48b055cd4c40a26e73cf257855156177ba7a0cd28229a03fc06822327b8a728a27cf8d07e442a3e3bf370a210ac007519b60a83e740fad95a2" xr:uid="{B793DD34-CB74-435E-BA9C-FC2B52D51667}"/>
    <hyperlink ref="J28" r:id="rId32" xr:uid="{C29EDBAA-556E-48BA-AA3C-A3BE9EA80DC9}"/>
    <hyperlink ref="J29" r:id="rId33" xr:uid="{4D76EE30-1E91-401C-B70F-A38B37678332}"/>
    <hyperlink ref="J30" r:id="rId34" xr:uid="{BEA6CAC9-79AE-469A-9801-E80AB2625DF3}"/>
    <hyperlink ref="J36" r:id="rId35" xr:uid="{B6C17194-F886-44C2-9382-9E24B0D5DCAD}"/>
    <hyperlink ref="J37" r:id="rId36" xr:uid="{E0104C53-F6BF-4255-B121-D1D7EE1D82B8}"/>
    <hyperlink ref="J41" r:id="rId37" display="https://www.kaiserkraft.de/schraenke/werkstattschraenke/stahlschrank-nilas/mit-4-fachboeden/p/M20441365/?articleNumber=803758&amp;customerType=B2C&amp;utm_source=google&amp;utm_medium=cpc&amp;utm_campaign=PM_Cupboards&amp;utm_content=&amp;utm_term=&amp;infinity=ict2~net~gaw~cmp~PM_Cupboards~ag~~ar~~kw~~mt~&amp;gad_source=1&amp;gad_campaignid=21432098636&amp;gbraid=0AAAAADETXW3npLaeQ20cCSBPDVK9USm3k&amp;gclid=CjwKCAjwup3HBhAAEiwA7euZujOR3NLEKpUEVK2gfMsGG7NNlJkIhvgvMGKM6vSJPcqJ8IHAJliSNxoCCAsQAvD_BwE" xr:uid="{E8AA65BF-B4EB-4122-913F-C88A36B8A766}"/>
    <hyperlink ref="J42" r:id="rId38" display="https://www.schaefer-shop.de/p/stahlschrank-2-oh-2-hoehenverstellbare-einlegeboeden-drehzylinderschloss-b-916-x-t-422-x-h-1000-mm-wahlweise-lichtgrau-ral-7035-lichtgrau-ral-7035-oder-lichtgrau-ral-7035-enzianblau-ral-5010?selectedItem=464506&amp;cc=A147001&amp;fprofile=b2c&amp;alw=1-3093-3271_464506_aff&amp;utm_medium=affiliate&amp;utm_campaign=915303&amp;sv1=affiliate&amp;sv_campaign_id=915303&amp;awc=11479_1760039504_409a799a19d258639242abf396e8aabb" xr:uid="{15E2D81A-691F-427C-8BEA-7D764040E8E8}"/>
    <hyperlink ref="J43" r:id="rId39" display="https://www.kaiserkraft.de/regale/fachbodenregale/lagerregal-lagan/regalhoehe-1800-mm/p/M20147794/?articleNumber=527278&amp;customerType=B2C&amp;utm_source=google&amp;utm_medium=cpc&amp;utm_campaign=PM_Shelving-Storage&amp;utm_content=&amp;utm_term=&amp;infinity=ict2~net~gaw~cmp~PM_Shelving-Storage~ag~~ar~~kw~~mt~&amp;gad_source=1&amp;gad_campaignid=22872048947&amp;gbraid=0AAAAADETXW3F0rTbmTVsmxb-zJCJI9Ul0&amp;gclid=CjwKCAjwup3HBhAAEiwA7euZuujgrH0ghpHYB2kZ7JNBknHdFCm3u0-HMxN0Gq-_I_oDry4IIqjrFxoCUtAQAvD_BwE" xr:uid="{4867D733-01AC-4D26-A30B-CD54657E0F98}"/>
    <hyperlink ref="J44" r:id="rId40" xr:uid="{406FC309-D67E-40D7-B148-EA1C9DF9C4BF}"/>
    <hyperlink ref="J33" r:id="rId41" display="https://www.amazon.de/Fellowes-5306114-ImageLast-Laminierfolien-transparent/dp/B001BS1IIS/ref=sr_1_7?__mk_de_DE=%C3%85M%C3%85%C5%BD%C3%95%C3%91&amp;crid=MECKASQZFPKN&amp;dib=eyJ2IjoiMSJ9.tVexFUYk9YPej9uI-BYMmKvhgfXOadfVBUFWqXNktWZCcq-MrZW93ekZAmXmNtgWW7heFa5Ou417UacQh_VBsp10TbsjVuw8QZKnSKjgl5z5yF7jX-ufaQlwF1ytCR4KttbbmxFrNg2jcuUXaPdC0ewdRcmvO-8YPVOcjSyiWAKMs-7btZfdXb4UaaX1FdkTfdqi6QiaO2AtgN0wdjLEJr5apqe8D_YJOK5O7a9fT4rabCS_fYpTfg3v5sacauf44tmuZk_Ywa8fqGRetpFWYkBHmo36EOKzTQyyCiAYWPg.dZ168QgMFJahnB1vBNULnRMY6Vl1eCxzNz-stL_SaCw&amp;dib_tag=se&amp;keywords=laminierfolie&amp;qid=1760084571&amp;sprefix=laminierfolie%2Caps%2C87&amp;sr=8-7&amp;th=1" xr:uid="{21552ABA-0374-4EE9-A372-6FC2B08F0D00}"/>
    <hyperlink ref="J34" r:id="rId42" display="https://www.amazon.de/Fellowes-ImageLast-Laminierfolien-Mikron-100er/dp/B000NJUWM4/ref=sr_1_9?__mk_de_DE=%C3%85M%C3%85%C5%BD%C3%95%C3%91&amp;crid=3GI9IKHNQWLJ5&amp;dib=eyJ2IjoiMSJ9.hVkxiByf3ZYC-Vwwds4wjNN2A9Cszg3gMSgIb2OURsDvZ74twlGm6AdEOj9LZgegE4ESSPcjuASQu0MNAmKeq2mBsf1YihOHDgi002BEJu_NSWcmsYTXL3JVla_yCf8P0H3W6uCvkwX9mcMGSRvYHGV9U7rj5HyM8uFHPFKsczYALtUDe78BTqS2dGmKzFNLCFim_cX3lwmiE6HR4ZZ9MY1nWHX_3khUCWAOA5anX0S4yXKDI2jQHEl9LIS-pCkbNngDRZj1CP5kKCLIskb5CX4Iuw4o8U7QrcJ975QUeRw.j4avS3Powpwy8BWWl9MDxRZAOOZqiCWchBnijrERJZA&amp;dib_tag=se&amp;keywords=laminierfolie%2BA3&amp;qid=1760084660&amp;sprefix=laminierfolie%2Ba3%2Caps%2C82&amp;sr=8-9&amp;th=1" xr:uid="{72F089B0-B5E9-4A63-97FB-58E3A73258FB}"/>
    <hyperlink ref="J8" r:id="rId43" display="https://www.amazon.de/-/en/Philips-Senseo-Maestro-Coffee-Machine/dp/B0B9NR4TJR/ref=sr_1_1?crid=18QBZIJ7YFOGA&amp;dib=eyJ2IjoiMSJ9.PfJ_Ge-gKNEov9XO6piDjmATsn2RN5vy8EZV3IqtWj3t2DijzRSdsU_2yyHCHNDKMQJVdv-wAZTf3xfrU5PIGuLyEtl2Ts83Z1NZTUyq7AFGQ3wmp8iX5jsDbF9gBBpdlkRKMtsqR9bW_YbmDVgH6xg4hz6HJQqQISp60wmLXbfICQVjgwpKW77-CEvOVcjiSHAUTf8XWnym7CnZlgILOqKgusNUqTCcNGQGaexCkR8.aBYCS62srgzEQKjy4S86k5lBBP2Z54IAsO3Ed2DQyhM&amp;dib_tag=se&amp;keywords=Philips+Senseo+Maestro+Coffee+Pod+Machine+-+Intense+Plus+Technology%2C+High-Quality+Espresso+Quality%2C+Environmentally+Friendly+Design%2C+1.2+L+Water+Tank%2C+Memo+Function%2C+Descaling+Indicator+%28CSA260%2F60%29&amp;qid=1760445146&amp;sprefix=philips+senseo+maestro+coffee+pod+machine+-+intense+plus+technology+high-quality+espresso+quality+environmentally+friendly+design+1.2+l+water+tank+memo+function+descaling+indicator+csa260%2F60+%2Caps%2C111&amp;sr=8-1&amp;language=de_DE" xr:uid="{7869E188-B1F5-4826-83FE-D7002A7D9BCD}"/>
    <hyperlink ref="J162" r:id="rId44" display="https://www.metro.de/marktplatz/product/6f2c525f-32e5-4efb-a073-d790b5440648?mfeed_oid=f6ec19b0-939c-442b-96f0-2668d4af8668&amp;mfeed_bm=1&amp;utm_source=google&amp;utm_medium=cpc&amp;utm_campaign=de_mm_ag_shopping_all_standard_all_b2c_feed_brand&amp;gad_source=1&amp;gad_campaignid=22549537188&amp;gbraid=0AAAAACqaXxYRNYgVJoj1dsFO2DtiYh3t1&amp;gclid=EAIaIQobChMI8eL3xKmokAMVPZWDBx1M8iBpEAQYASABEgIEcPD_BwE&amp;itm_pm=cookie_consent_accept_button" xr:uid="{5D4D1B70-E5FD-4B36-83CC-3C646C429987}"/>
    <hyperlink ref="J165" r:id="rId45" xr:uid="{F5FEDF08-C293-4B9C-ABB5-504D6E2BB0D4}"/>
    <hyperlink ref="J145" r:id="rId46" xr:uid="{71A011D0-4254-4211-A910-3780C638B42A}"/>
    <hyperlink ref="J146" r:id="rId47" xr:uid="{DAC7A2BE-5B1D-49D7-B911-507177059DC5}"/>
    <hyperlink ref="J163" r:id="rId48" display="https://www.metro.de/marktplatz/product/c3c7cf57-084a-4a94-9874-4bc0ec07e552?mfeed_oid=667aa3a6-c609-4286-abba-da6bbf9c352f&amp;mfeed_bm=1&amp;utm_source=google&amp;utm_medium=cpc&amp;utm_campaign=de_mm_ag_pmax_all_dynamic_all_b2c_feed_high&amp;gad_source=1&amp;gad_campaignid=20948705910&amp;gbraid=0AAAAACqaXxbAGi320xBmljxQ13PAKAZLL&amp;gclid=EAIaIQobChMI38Kly6-okAMV8qaDBx1Mvy5NEAQYAiABEgKDDfD_BwE" xr:uid="{550BBED2-FAFC-4921-B61C-85F360E01815}"/>
    <hyperlink ref="J164" r:id="rId49" xr:uid="{AB70EF3E-1878-46FD-A874-31D309F4A8BA}"/>
    <hyperlink ref="J144" r:id="rId50" display="https://www.metro.de/marktplatz/product/f7b2c4e6-e772-456f-bea5-d71286387ad6?mfeed_oid=59cd58f1-1ff3-4f40-bb2f-82f17a4909de&amp;mfeed_bm=1&amp;utm_source=google&amp;utm_medium=cpc&amp;utm_campaign=de_mm_ag_shopping_all_standard_all_b2c_feed_brand&amp;gad_source=1&amp;gad_campaignid=22549537188&amp;gbraid=0AAAAACqaXxZ3ZlsSpDszjkkHtVxzVBwAt&amp;gclid=EAIaIQobChMIxMWevLOokAMVuICDBx1LbBZ1EAQYASABEgLxt_D_BwE" xr:uid="{DF83C4EF-994D-400C-A53A-7BB0D20933CD}"/>
    <hyperlink ref="J63" r:id="rId51" xr:uid="{85051AF9-9A12-44DE-85C1-E406D6955985}"/>
    <hyperlink ref="J180" r:id="rId52" display="https://www.amazon.de/KTC-EDLA-Zertifiziert-Lautsprecher-A32Q7-Pro/dp/B0DWNC1573/ref=sr_1_3?__mk_de_DE=%C3%85M%C3%85%C5%BD%C3%95%C3%91&amp;crid=1ISKTSY7EP3M0&amp;dib=eyJ2IjoiMSJ9.cxjCIAHtwti7PYoM354XX13DqAM81CMzSzOq6Ux0uezGjHj071QN20LucGBJIEps.dDQHOBtabn088tp3BsHAYS-xbRg_yBNKtLv7oXkxDg0&amp;dib_tag=se&amp;keywords=KTC%2BA32Q7%2BPro&amp;qid=1759932244&amp;sprefix=ktc%2Ba32q7%2Bpro%2Caps%2C149&amp;sr=8-3&amp;th=1 " xr:uid="{8726E126-FFC9-4399-9CAC-A6915ED5D68D}"/>
    <hyperlink ref="J58" r:id="rId53" display="https://www.conrad.de/de/p/asus-zenwifi-bq16-3er-wlan-router-2-4-ghz-5-ghz-6-ghz-3415093.html?hk=SEM&amp;WT.mc_id=google_pla&amp;qwer=Cj0KCQjwjL3HBhCgARIsAPUg7a59QXutxynw2ztd1LJ8RHcjGAAm7uz5Pq_R_ysF9NO-18_O8gNO3x8aApH_EALw_wcB&amp;utm_source=google&amp;utm_medium=cpc&amp;utm_campaign=DE+-+PMAX+-" xr:uid="{1A1EF378-4FA5-467B-8333-7F77B3A731B9}"/>
    <hyperlink ref="J56" r:id="rId54" xr:uid="{39D4FFD4-7ADF-47E6-9FD6-1E04CC234176}"/>
    <hyperlink ref="J50" r:id="rId55" location="ech=29343682" xr:uid="{894B39F1-7AC4-42CD-B362-7F97ED59EC4B}"/>
    <hyperlink ref="J51" r:id="rId56" location="variationId=S0F0S0NLA2M0" xr:uid="{1ABF285D-30F7-43EC-A8BF-02868FEF4CC9}"/>
    <hyperlink ref="J95" r:id="rId57" xr:uid="{318BB64B-CD85-4F22-9AB5-F96FB56B9E01}"/>
    <hyperlink ref="J97" r:id="rId58" xr:uid="{D4D01E61-D439-4DED-B1B5-AEC790B88357}"/>
    <hyperlink ref="J98" r:id="rId59" location="reviewBar" xr:uid="{668339C8-2494-4992-B51A-69C5D804AA29}"/>
    <hyperlink ref="J67" r:id="rId60" xr:uid="{17EBF456-0FCE-46EE-B078-E65EFB0CECC0}"/>
    <hyperlink ref="J68" r:id="rId61" xr:uid="{41C91875-0D5C-49BA-A273-A6AC83A01061}"/>
    <hyperlink ref="J66" r:id="rId62" xr:uid="{ADE981EC-CFB2-435F-B456-289B598B1B08}"/>
    <hyperlink ref="J65" r:id="rId63" xr:uid="{81B0DE33-BDA9-4A29-A34A-79160E8125EA}"/>
    <hyperlink ref="J69" r:id="rId64" xr:uid="{0D60B257-1646-44E8-B10E-1E01718E973D}"/>
    <hyperlink ref="J100" r:id="rId65" xr:uid="{C1F9B50A-576A-40E2-B7EE-D529EDB3E1E6}"/>
    <hyperlink ref="J101" r:id="rId66" xr:uid="{1EB80173-9789-424C-B3BB-537A794288EB}"/>
    <hyperlink ref="J102" r:id="rId67" xr:uid="{E1615C79-FC13-4EE0-83C1-51AFD3EA098B}"/>
    <hyperlink ref="J107" r:id="rId68" xr:uid="{497F15E2-9FCC-45B5-9419-5AC277505EFA}"/>
    <hyperlink ref="J119" r:id="rId69" xr:uid="{4DDFDC64-A020-45E9-8590-BA17C3802AC4}"/>
    <hyperlink ref="J131" r:id="rId70" xr:uid="{9B91434A-0247-4381-A884-EFFAE7F2E49E}"/>
    <hyperlink ref="J177" r:id="rId71" xr:uid="{F0BCC092-C4E8-46D7-9BB9-B5050781CC3F}"/>
    <hyperlink ref="J113" r:id="rId72" xr:uid="{C6446212-2065-40E2-A2FA-643854CA2295}"/>
    <hyperlink ref="J114" r:id="rId73" xr:uid="{89EB9843-EFCA-48CF-8584-0D088390DABA}"/>
    <hyperlink ref="J127" r:id="rId74" xr:uid="{4E51D2D1-AF51-4DA7-9F8C-372A4219E3C6}"/>
    <hyperlink ref="J134" r:id="rId75" xr:uid="{F9E495FF-D1BB-456E-9336-C6E71F6A29AA}"/>
    <hyperlink ref="J135" r:id="rId76" xr:uid="{09DBF8ED-37BD-4935-A36C-B94C5E4FEF52}"/>
    <hyperlink ref="J136" r:id="rId77" xr:uid="{EDAA29C0-3CCA-40F9-BF14-9BCF4674022A}"/>
    <hyperlink ref="J137" r:id="rId78" xr:uid="{D9972DC3-5813-4FB2-BB49-609D4B4C8586}"/>
    <hyperlink ref="J138" r:id="rId79" xr:uid="{06596314-5C8A-439D-B1A9-087F7C84EB98}"/>
    <hyperlink ref="J139" r:id="rId80" xr:uid="{C8E949D4-D7F1-46DD-AE52-12E06CA946D3}"/>
    <hyperlink ref="J140" r:id="rId81" xr:uid="{D72908AD-17C0-4B6E-90EB-2914323601F0}"/>
    <hyperlink ref="J128" r:id="rId82" xr:uid="{1EB099B2-2CF6-4C09-904F-A7285B445DDA}"/>
    <hyperlink ref="J132" r:id="rId83" xr:uid="{18984F35-8FD5-431C-A917-4A8822A8EB16}"/>
    <hyperlink ref="J130" r:id="rId84" xr:uid="{ED882A9B-FFEC-40F5-B1E5-59D7913CCA3F}"/>
    <hyperlink ref="J124" r:id="rId85" xr:uid="{371BDD98-81CF-4EA4-A365-56D830BFB016}"/>
    <hyperlink ref="J123" r:id="rId86" xr:uid="{93FDEA57-0F32-40E1-820F-F14D3773E803}"/>
    <hyperlink ref="J122" r:id="rId87" xr:uid="{CBCD1F19-1B6F-4B0F-BE65-D9459BC0B07F}"/>
    <hyperlink ref="J125" r:id="rId88" xr:uid="{96034C70-96C1-4063-9092-35B952DD43CB}"/>
    <hyperlink ref="J126" r:id="rId89" xr:uid="{DA24FF06-E8CF-458F-B403-6B9D50CAA6ED}"/>
    <hyperlink ref="J117" r:id="rId90" xr:uid="{F3705A90-B607-4127-A01D-761447FD869F}"/>
    <hyperlink ref="J118" r:id="rId91" xr:uid="{C5E6C2DA-17D9-4F89-877B-4B9E96D2A015}"/>
    <hyperlink ref="J116" r:id="rId92" xr:uid="{256F3803-A488-495F-A1AE-17A54224DD5F}"/>
    <hyperlink ref="J115" r:id="rId93" xr:uid="{2E0EBE5B-0A73-4E7B-A3E9-EDB608735D43}"/>
    <hyperlink ref="J3" r:id="rId94" xr:uid="{94A90266-A124-47D2-BE1C-F4EACF1DBFA8}"/>
    <hyperlink ref="J2" r:id="rId95" xr:uid="{3407C11F-7E8E-467C-8B93-BD21244F8F35}"/>
  </hyperlinks>
  <pageMargins left="0.25" right="0.25" top="0.75" bottom="0.75" header="0.3" footer="0.3"/>
  <pageSetup paperSize="8" scale="16" fitToHeight="0" orientation="landscape" r:id="rId96"/>
  <legacy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750B-33C1-45CC-8D32-7EC124CEEC61}">
  <dimension ref="A1:S193"/>
  <sheetViews>
    <sheetView tabSelected="1" topLeftCell="A19" workbookViewId="0">
      <selection activeCell="E21" sqref="E21:E51"/>
    </sheetView>
  </sheetViews>
  <sheetFormatPr defaultRowHeight="14.4" x14ac:dyDescent="0.3"/>
  <cols>
    <col min="4" max="4" width="29.33203125" bestFit="1" customWidth="1"/>
    <col min="5" max="5" width="18.44140625" bestFit="1" customWidth="1"/>
    <col min="6" max="6" width="129.109375" bestFit="1" customWidth="1"/>
    <col min="9" max="9" width="54.33203125" bestFit="1" customWidth="1"/>
    <col min="10" max="10" width="26.44140625" style="17" customWidth="1"/>
    <col min="11" max="11" width="67" customWidth="1"/>
    <col min="12" max="12" width="17.77734375" bestFit="1" customWidth="1"/>
    <col min="13" max="13" width="18.44140625" bestFit="1" customWidth="1"/>
    <col min="14" max="14" width="19.109375" bestFit="1" customWidth="1"/>
    <col min="15" max="15" width="16.88671875" style="17" bestFit="1" customWidth="1"/>
    <col min="19" max="19" width="10.5546875" bestFit="1" customWidth="1"/>
  </cols>
  <sheetData>
    <row r="1" spans="1:19" x14ac:dyDescent="0.3">
      <c r="A1" t="s">
        <v>16</v>
      </c>
      <c r="B1" t="s">
        <v>7</v>
      </c>
      <c r="C1" t="s">
        <v>8</v>
      </c>
      <c r="D1" t="s">
        <v>22</v>
      </c>
      <c r="E1" t="s">
        <v>333</v>
      </c>
      <c r="F1" t="s">
        <v>334</v>
      </c>
      <c r="G1" t="s">
        <v>0</v>
      </c>
      <c r="H1" t="s">
        <v>97</v>
      </c>
      <c r="I1" t="s">
        <v>4</v>
      </c>
      <c r="J1" s="17" t="s">
        <v>5</v>
      </c>
      <c r="K1" t="s">
        <v>134</v>
      </c>
      <c r="L1" t="s">
        <v>1</v>
      </c>
      <c r="M1" t="s">
        <v>2</v>
      </c>
      <c r="N1" t="s">
        <v>3</v>
      </c>
      <c r="O1" s="17" t="s">
        <v>10</v>
      </c>
      <c r="P1" t="s">
        <v>14</v>
      </c>
      <c r="Q1" t="s">
        <v>11</v>
      </c>
      <c r="R1" t="s">
        <v>12</v>
      </c>
      <c r="S1" t="s">
        <v>13</v>
      </c>
    </row>
    <row r="2" spans="1:19" x14ac:dyDescent="0.3">
      <c r="A2">
        <v>1.01</v>
      </c>
      <c r="B2" t="s">
        <v>20</v>
      </c>
      <c r="C2" t="s">
        <v>21</v>
      </c>
      <c r="D2" t="s">
        <v>357</v>
      </c>
      <c r="E2" t="s">
        <v>23</v>
      </c>
      <c r="G2">
        <v>1</v>
      </c>
      <c r="H2" t="s">
        <v>50</v>
      </c>
      <c r="I2" t="s">
        <v>24</v>
      </c>
      <c r="J2" s="17" t="s">
        <v>25</v>
      </c>
      <c r="K2">
        <v>1066.3900000000001</v>
      </c>
      <c r="L2">
        <v>1269</v>
      </c>
      <c r="M2">
        <v>1066.3900000000001</v>
      </c>
      <c r="N2">
        <v>1269</v>
      </c>
    </row>
    <row r="3" spans="1:19" x14ac:dyDescent="0.3">
      <c r="A3">
        <v>1.02</v>
      </c>
      <c r="B3" t="s">
        <v>20</v>
      </c>
      <c r="C3" t="s">
        <v>21</v>
      </c>
      <c r="D3" t="s">
        <v>357</v>
      </c>
      <c r="E3" t="s">
        <v>18</v>
      </c>
      <c r="F3" t="s">
        <v>18</v>
      </c>
      <c r="G3">
        <v>1</v>
      </c>
      <c r="H3" t="s">
        <v>26</v>
      </c>
      <c r="I3" t="s">
        <v>28</v>
      </c>
      <c r="J3" s="17" t="s">
        <v>27</v>
      </c>
      <c r="L3">
        <v>1845</v>
      </c>
      <c r="N3">
        <v>1845</v>
      </c>
    </row>
    <row r="4" spans="1:19" x14ac:dyDescent="0.3">
      <c r="A4">
        <v>1.03</v>
      </c>
      <c r="B4" t="s">
        <v>20</v>
      </c>
      <c r="C4" t="s">
        <v>21</v>
      </c>
      <c r="D4" t="s">
        <v>357</v>
      </c>
      <c r="E4" t="s">
        <v>355</v>
      </c>
      <c r="F4" t="s">
        <v>29</v>
      </c>
      <c r="G4">
        <v>1</v>
      </c>
      <c r="H4" t="s">
        <v>30</v>
      </c>
      <c r="I4" t="s">
        <v>19</v>
      </c>
      <c r="J4" s="17" t="s">
        <v>31</v>
      </c>
      <c r="L4">
        <v>859.99</v>
      </c>
      <c r="N4">
        <v>859.99</v>
      </c>
    </row>
    <row r="5" spans="1:19" x14ac:dyDescent="0.3">
      <c r="A5">
        <v>1.04</v>
      </c>
      <c r="B5" t="s">
        <v>20</v>
      </c>
      <c r="C5" t="s">
        <v>21</v>
      </c>
      <c r="D5" t="s">
        <v>357</v>
      </c>
      <c r="E5" t="s">
        <v>218</v>
      </c>
      <c r="F5" t="s">
        <v>32</v>
      </c>
      <c r="G5">
        <v>1</v>
      </c>
      <c r="H5" t="s">
        <v>34</v>
      </c>
      <c r="I5" t="s">
        <v>33</v>
      </c>
      <c r="J5" s="17" t="s">
        <v>35</v>
      </c>
      <c r="K5">
        <v>1489.99</v>
      </c>
      <c r="L5">
        <v>1773.09</v>
      </c>
      <c r="M5">
        <v>1489.99</v>
      </c>
      <c r="N5">
        <v>1773.09</v>
      </c>
    </row>
    <row r="6" spans="1:19" x14ac:dyDescent="0.3">
      <c r="A6">
        <v>1.05</v>
      </c>
      <c r="B6" t="s">
        <v>20</v>
      </c>
      <c r="C6" t="s">
        <v>21</v>
      </c>
      <c r="D6" t="s">
        <v>357</v>
      </c>
      <c r="E6" t="s">
        <v>36</v>
      </c>
      <c r="G6">
        <v>1</v>
      </c>
      <c r="H6" t="s">
        <v>37</v>
      </c>
      <c r="I6" t="s">
        <v>38</v>
      </c>
      <c r="J6" s="17" t="s">
        <v>39</v>
      </c>
      <c r="L6">
        <v>2799</v>
      </c>
      <c r="N6">
        <v>2799</v>
      </c>
    </row>
    <row r="7" spans="1:19" x14ac:dyDescent="0.3">
      <c r="A7">
        <v>1.06</v>
      </c>
      <c r="B7" t="s">
        <v>20</v>
      </c>
      <c r="C7" t="s">
        <v>21</v>
      </c>
      <c r="D7" t="s">
        <v>40</v>
      </c>
      <c r="E7" t="s">
        <v>41</v>
      </c>
      <c r="G7">
        <v>1</v>
      </c>
      <c r="H7" t="s">
        <v>45</v>
      </c>
      <c r="I7" t="s">
        <v>42</v>
      </c>
      <c r="J7" s="17" t="s">
        <v>43</v>
      </c>
      <c r="K7">
        <v>299.99</v>
      </c>
      <c r="L7">
        <v>356.99</v>
      </c>
      <c r="M7">
        <v>299.99</v>
      </c>
      <c r="N7">
        <v>356.99</v>
      </c>
    </row>
    <row r="8" spans="1:19" x14ac:dyDescent="0.3">
      <c r="A8">
        <v>1.07</v>
      </c>
      <c r="B8" t="s">
        <v>20</v>
      </c>
      <c r="C8" t="s">
        <v>21</v>
      </c>
      <c r="D8" t="s">
        <v>40</v>
      </c>
      <c r="E8" t="s">
        <v>17</v>
      </c>
      <c r="G8">
        <v>1</v>
      </c>
      <c r="H8" t="s">
        <v>46</v>
      </c>
      <c r="I8" t="s">
        <v>19</v>
      </c>
      <c r="J8" s="17" t="s">
        <v>150</v>
      </c>
      <c r="L8">
        <v>99.9</v>
      </c>
      <c r="N8">
        <v>99.9</v>
      </c>
    </row>
    <row r="9" spans="1:19" x14ac:dyDescent="0.3">
      <c r="A9">
        <v>1.08</v>
      </c>
      <c r="B9" t="s">
        <v>20</v>
      </c>
      <c r="C9" t="s">
        <v>21</v>
      </c>
      <c r="D9" t="s">
        <v>357</v>
      </c>
      <c r="E9" t="s">
        <v>157</v>
      </c>
      <c r="F9" t="s">
        <v>44</v>
      </c>
      <c r="G9">
        <v>1</v>
      </c>
      <c r="H9" t="s">
        <v>49</v>
      </c>
      <c r="I9" t="s">
        <v>48</v>
      </c>
      <c r="J9" s="17" t="s">
        <v>47</v>
      </c>
      <c r="L9">
        <v>409</v>
      </c>
      <c r="N9">
        <v>409</v>
      </c>
    </row>
    <row r="10" spans="1:19" x14ac:dyDescent="0.3">
      <c r="A10">
        <v>1.0900000000000001</v>
      </c>
      <c r="B10" t="s">
        <v>20</v>
      </c>
      <c r="C10" t="s">
        <v>21</v>
      </c>
      <c r="D10" t="s">
        <v>357</v>
      </c>
      <c r="E10" t="s">
        <v>6</v>
      </c>
      <c r="F10" t="s">
        <v>343</v>
      </c>
      <c r="G10">
        <v>1</v>
      </c>
      <c r="H10" t="s">
        <v>9</v>
      </c>
      <c r="I10" t="s">
        <v>9</v>
      </c>
      <c r="J10" s="17" t="s">
        <v>51</v>
      </c>
      <c r="L10">
        <v>1799</v>
      </c>
      <c r="N10">
        <v>1799</v>
      </c>
    </row>
    <row r="11" spans="1:19" x14ac:dyDescent="0.3">
      <c r="A11">
        <v>1.1000000000000001</v>
      </c>
      <c r="B11" t="s">
        <v>20</v>
      </c>
      <c r="C11" t="s">
        <v>21</v>
      </c>
      <c r="D11" t="s">
        <v>357</v>
      </c>
      <c r="E11" t="s">
        <v>348</v>
      </c>
      <c r="F11" t="s">
        <v>52</v>
      </c>
      <c r="G11">
        <v>1</v>
      </c>
      <c r="H11" t="s">
        <v>9</v>
      </c>
      <c r="I11" t="s">
        <v>9</v>
      </c>
      <c r="J11" s="17" t="s">
        <v>53</v>
      </c>
      <c r="L11">
        <v>149</v>
      </c>
      <c r="N11">
        <v>149</v>
      </c>
    </row>
    <row r="12" spans="1:19" x14ac:dyDescent="0.3">
      <c r="A12">
        <v>1.1100000000000001</v>
      </c>
      <c r="B12" t="s">
        <v>20</v>
      </c>
      <c r="C12" t="s">
        <v>21</v>
      </c>
      <c r="D12" t="s">
        <v>357</v>
      </c>
      <c r="E12" t="s">
        <v>347</v>
      </c>
      <c r="F12" t="s">
        <v>55</v>
      </c>
      <c r="G12">
        <v>1</v>
      </c>
      <c r="H12" t="s">
        <v>9</v>
      </c>
      <c r="I12" t="s">
        <v>9</v>
      </c>
      <c r="J12" s="17" t="s">
        <v>54</v>
      </c>
      <c r="L12">
        <v>399</v>
      </c>
      <c r="N12">
        <v>399</v>
      </c>
    </row>
    <row r="13" spans="1:19" x14ac:dyDescent="0.3">
      <c r="A13">
        <v>1.1200000000000001</v>
      </c>
      <c r="B13" t="s">
        <v>20</v>
      </c>
      <c r="C13" t="s">
        <v>21</v>
      </c>
      <c r="D13" t="s">
        <v>357</v>
      </c>
      <c r="E13" t="s">
        <v>154</v>
      </c>
      <c r="F13" t="s">
        <v>266</v>
      </c>
      <c r="G13">
        <v>1</v>
      </c>
      <c r="H13" t="s">
        <v>9</v>
      </c>
      <c r="I13" t="s">
        <v>9</v>
      </c>
      <c r="J13" s="17" t="s">
        <v>56</v>
      </c>
      <c r="L13">
        <v>1499</v>
      </c>
      <c r="N13">
        <v>1499</v>
      </c>
    </row>
    <row r="14" spans="1:19" x14ac:dyDescent="0.3">
      <c r="A14">
        <v>1.1299999999999999</v>
      </c>
      <c r="B14" t="s">
        <v>20</v>
      </c>
      <c r="C14" t="s">
        <v>21</v>
      </c>
      <c r="D14" t="s">
        <v>357</v>
      </c>
      <c r="E14" t="s">
        <v>349</v>
      </c>
      <c r="F14" t="s">
        <v>58</v>
      </c>
      <c r="G14">
        <v>1</v>
      </c>
      <c r="H14" t="s">
        <v>9</v>
      </c>
      <c r="I14" t="s">
        <v>9</v>
      </c>
      <c r="J14" s="17" t="s">
        <v>57</v>
      </c>
      <c r="L14">
        <v>85</v>
      </c>
      <c r="N14">
        <v>85</v>
      </c>
    </row>
    <row r="15" spans="1:19" x14ac:dyDescent="0.3">
      <c r="A15">
        <v>1.1399999999999999</v>
      </c>
      <c r="B15" t="s">
        <v>20</v>
      </c>
      <c r="C15" t="s">
        <v>21</v>
      </c>
      <c r="D15" t="s">
        <v>357</v>
      </c>
      <c r="E15" t="s">
        <v>336</v>
      </c>
      <c r="F15" t="s">
        <v>60</v>
      </c>
      <c r="G15">
        <v>2</v>
      </c>
      <c r="H15" t="s">
        <v>9</v>
      </c>
      <c r="I15" t="s">
        <v>9</v>
      </c>
      <c r="J15" s="17" t="s">
        <v>59</v>
      </c>
      <c r="L15">
        <v>2029</v>
      </c>
      <c r="N15">
        <v>4058</v>
      </c>
    </row>
    <row r="16" spans="1:19" x14ac:dyDescent="0.3">
      <c r="A16">
        <v>1.1499999999999999</v>
      </c>
      <c r="B16" t="s">
        <v>20</v>
      </c>
      <c r="C16" t="s">
        <v>21</v>
      </c>
      <c r="D16" t="s">
        <v>74</v>
      </c>
      <c r="E16" t="s">
        <v>15</v>
      </c>
      <c r="F16" t="s">
        <v>79</v>
      </c>
      <c r="G16">
        <v>1</v>
      </c>
      <c r="H16" t="s">
        <v>61</v>
      </c>
      <c r="I16" t="s">
        <v>62</v>
      </c>
      <c r="J16" s="17" t="s">
        <v>63</v>
      </c>
      <c r="K16">
        <v>168.06</v>
      </c>
      <c r="L16">
        <v>204.99</v>
      </c>
      <c r="M16">
        <v>168.06</v>
      </c>
      <c r="N16">
        <v>204.99</v>
      </c>
      <c r="O16" s="17" t="s">
        <v>362</v>
      </c>
    </row>
    <row r="17" spans="1:15" x14ac:dyDescent="0.3">
      <c r="A17">
        <v>1.1599999999999999</v>
      </c>
      <c r="B17" t="s">
        <v>20</v>
      </c>
      <c r="C17" t="s">
        <v>21</v>
      </c>
      <c r="D17" t="s">
        <v>40</v>
      </c>
      <c r="E17" t="s">
        <v>64</v>
      </c>
      <c r="G17">
        <v>1</v>
      </c>
      <c r="H17" t="s">
        <v>65</v>
      </c>
      <c r="I17" t="s">
        <v>65</v>
      </c>
      <c r="J17" s="17" t="s">
        <v>66</v>
      </c>
      <c r="L17">
        <v>499</v>
      </c>
      <c r="N17">
        <v>499</v>
      </c>
    </row>
    <row r="18" spans="1:15" x14ac:dyDescent="0.3">
      <c r="A18">
        <v>1.17</v>
      </c>
      <c r="B18" t="s">
        <v>20</v>
      </c>
      <c r="C18" t="s">
        <v>21</v>
      </c>
      <c r="D18" t="s">
        <v>357</v>
      </c>
      <c r="E18" t="s">
        <v>345</v>
      </c>
      <c r="F18" t="s">
        <v>67</v>
      </c>
      <c r="G18">
        <v>1</v>
      </c>
      <c r="H18" t="s">
        <v>68</v>
      </c>
      <c r="I18" t="s">
        <v>33</v>
      </c>
      <c r="J18" s="17" t="s">
        <v>69</v>
      </c>
      <c r="K18">
        <v>89.83</v>
      </c>
      <c r="L18">
        <v>106.9</v>
      </c>
      <c r="M18">
        <v>89.83</v>
      </c>
      <c r="N18">
        <v>106.9</v>
      </c>
    </row>
    <row r="19" spans="1:15" x14ac:dyDescent="0.3">
      <c r="A19">
        <v>1.18</v>
      </c>
      <c r="B19" t="s">
        <v>20</v>
      </c>
      <c r="C19" t="s">
        <v>21</v>
      </c>
      <c r="D19" t="s">
        <v>357</v>
      </c>
      <c r="E19" t="s">
        <v>335</v>
      </c>
      <c r="F19" t="s">
        <v>337</v>
      </c>
      <c r="G19">
        <v>1</v>
      </c>
      <c r="H19" t="s">
        <v>70</v>
      </c>
      <c r="I19" t="s">
        <v>28</v>
      </c>
      <c r="J19" s="17" t="s">
        <v>71</v>
      </c>
      <c r="L19">
        <v>569.99</v>
      </c>
      <c r="N19">
        <v>569.99</v>
      </c>
    </row>
    <row r="20" spans="1:15" x14ac:dyDescent="0.3">
      <c r="A20">
        <v>1.19</v>
      </c>
      <c r="B20" t="s">
        <v>20</v>
      </c>
      <c r="C20" t="s">
        <v>21</v>
      </c>
      <c r="D20" t="s">
        <v>357</v>
      </c>
      <c r="E20" t="s">
        <v>73</v>
      </c>
      <c r="G20">
        <v>1</v>
      </c>
      <c r="H20" t="s">
        <v>70</v>
      </c>
      <c r="I20" t="s">
        <v>28</v>
      </c>
      <c r="J20" s="17" t="s">
        <v>72</v>
      </c>
      <c r="L20">
        <v>99.99</v>
      </c>
      <c r="N20">
        <v>99.99</v>
      </c>
    </row>
    <row r="21" spans="1:15" x14ac:dyDescent="0.3">
      <c r="A21">
        <v>1.2</v>
      </c>
      <c r="B21" t="s">
        <v>20</v>
      </c>
      <c r="C21" t="s">
        <v>21</v>
      </c>
      <c r="D21" t="s">
        <v>74</v>
      </c>
      <c r="F21" t="s">
        <v>78</v>
      </c>
      <c r="G21">
        <v>1</v>
      </c>
      <c r="H21" t="s">
        <v>76</v>
      </c>
      <c r="I21" t="s">
        <v>75</v>
      </c>
      <c r="J21" s="17" t="s">
        <v>77</v>
      </c>
      <c r="K21">
        <v>158.96</v>
      </c>
      <c r="L21">
        <v>189.16</v>
      </c>
      <c r="M21">
        <v>158.96</v>
      </c>
      <c r="N21">
        <v>189.16</v>
      </c>
      <c r="O21" s="17" t="s">
        <v>362</v>
      </c>
    </row>
    <row r="22" spans="1:15" x14ac:dyDescent="0.3">
      <c r="A22">
        <v>1.21</v>
      </c>
      <c r="B22" t="s">
        <v>20</v>
      </c>
      <c r="C22" t="s">
        <v>21</v>
      </c>
      <c r="D22" t="s">
        <v>106</v>
      </c>
      <c r="F22" t="s">
        <v>81</v>
      </c>
      <c r="G22">
        <v>1</v>
      </c>
      <c r="H22" t="s">
        <v>83</v>
      </c>
      <c r="I22" t="s">
        <v>135</v>
      </c>
      <c r="J22" s="17" t="s">
        <v>82</v>
      </c>
      <c r="K22">
        <v>62.99</v>
      </c>
      <c r="L22">
        <v>80.900000000000006</v>
      </c>
      <c r="M22">
        <v>62.99</v>
      </c>
      <c r="N22">
        <v>80.900000000000006</v>
      </c>
      <c r="O22" s="17" t="s">
        <v>362</v>
      </c>
    </row>
    <row r="23" spans="1:15" x14ac:dyDescent="0.3">
      <c r="A23">
        <v>1.22</v>
      </c>
      <c r="B23" t="s">
        <v>20</v>
      </c>
      <c r="C23" t="s">
        <v>21</v>
      </c>
      <c r="D23" t="s">
        <v>106</v>
      </c>
      <c r="F23" t="s">
        <v>84</v>
      </c>
      <c r="G23">
        <v>1</v>
      </c>
      <c r="H23" t="s">
        <v>85</v>
      </c>
      <c r="I23" t="s">
        <v>33</v>
      </c>
      <c r="J23" s="17" t="s">
        <v>86</v>
      </c>
      <c r="K23">
        <v>192.09</v>
      </c>
      <c r="L23">
        <v>228.59</v>
      </c>
      <c r="M23">
        <v>192.09</v>
      </c>
      <c r="N23">
        <v>228.59</v>
      </c>
      <c r="O23" s="17" t="s">
        <v>362</v>
      </c>
    </row>
    <row r="24" spans="1:15" x14ac:dyDescent="0.3">
      <c r="A24">
        <v>1.23</v>
      </c>
      <c r="B24" t="s">
        <v>20</v>
      </c>
      <c r="C24" t="s">
        <v>21</v>
      </c>
      <c r="D24" t="s">
        <v>88</v>
      </c>
      <c r="F24" t="s">
        <v>87</v>
      </c>
      <c r="G24">
        <v>4</v>
      </c>
      <c r="H24" t="s">
        <v>144</v>
      </c>
      <c r="I24" t="s">
        <v>33</v>
      </c>
      <c r="J24" s="17" t="s">
        <v>109</v>
      </c>
      <c r="K24">
        <v>20.38</v>
      </c>
      <c r="L24">
        <v>24.25</v>
      </c>
      <c r="M24">
        <v>81.52</v>
      </c>
      <c r="N24">
        <v>97</v>
      </c>
      <c r="O24" s="17" t="s">
        <v>362</v>
      </c>
    </row>
    <row r="25" spans="1:15" x14ac:dyDescent="0.3">
      <c r="A25">
        <v>1.24</v>
      </c>
      <c r="B25" t="s">
        <v>20</v>
      </c>
      <c r="C25" t="s">
        <v>21</v>
      </c>
      <c r="D25" t="s">
        <v>88</v>
      </c>
      <c r="F25" t="s">
        <v>89</v>
      </c>
      <c r="G25">
        <v>2</v>
      </c>
      <c r="H25" t="s">
        <v>145</v>
      </c>
      <c r="I25" t="s">
        <v>33</v>
      </c>
      <c r="J25" s="17" t="s">
        <v>110</v>
      </c>
      <c r="K25">
        <v>28.99</v>
      </c>
      <c r="L25">
        <v>34.5</v>
      </c>
      <c r="M25">
        <v>57.98</v>
      </c>
      <c r="N25">
        <v>69</v>
      </c>
      <c r="O25" s="17" t="s">
        <v>362</v>
      </c>
    </row>
    <row r="26" spans="1:15" x14ac:dyDescent="0.3">
      <c r="A26">
        <v>1.25</v>
      </c>
      <c r="B26" t="s">
        <v>20</v>
      </c>
      <c r="C26" t="s">
        <v>21</v>
      </c>
      <c r="D26" t="s">
        <v>88</v>
      </c>
      <c r="F26" t="s">
        <v>90</v>
      </c>
      <c r="G26">
        <v>4</v>
      </c>
      <c r="H26" t="s">
        <v>144</v>
      </c>
      <c r="I26" t="s">
        <v>33</v>
      </c>
      <c r="J26" s="17" t="s">
        <v>111</v>
      </c>
      <c r="K26">
        <v>12.99</v>
      </c>
      <c r="L26">
        <v>15.46</v>
      </c>
      <c r="M26">
        <v>51.96</v>
      </c>
      <c r="N26">
        <v>61.84</v>
      </c>
      <c r="O26" s="17" t="s">
        <v>362</v>
      </c>
    </row>
    <row r="27" spans="1:15" x14ac:dyDescent="0.3">
      <c r="A27">
        <v>1.26</v>
      </c>
      <c r="B27" t="s">
        <v>20</v>
      </c>
      <c r="C27" t="s">
        <v>21</v>
      </c>
      <c r="D27" t="s">
        <v>106</v>
      </c>
      <c r="F27" t="s">
        <v>91</v>
      </c>
      <c r="G27">
        <v>10</v>
      </c>
      <c r="H27" t="s">
        <v>143</v>
      </c>
      <c r="I27" t="s">
        <v>33</v>
      </c>
      <c r="J27" s="17" t="s">
        <v>112</v>
      </c>
      <c r="K27">
        <v>14.49</v>
      </c>
      <c r="L27">
        <v>17.239999999999998</v>
      </c>
      <c r="M27">
        <v>144.9</v>
      </c>
      <c r="N27">
        <v>172.39999999999998</v>
      </c>
      <c r="O27" s="17" t="s">
        <v>362</v>
      </c>
    </row>
    <row r="28" spans="1:15" x14ac:dyDescent="0.3">
      <c r="A28">
        <v>1.27</v>
      </c>
      <c r="B28" t="s">
        <v>20</v>
      </c>
      <c r="C28" t="s">
        <v>21</v>
      </c>
      <c r="D28" t="s">
        <v>106</v>
      </c>
      <c r="F28" t="s">
        <v>92</v>
      </c>
      <c r="G28">
        <v>20</v>
      </c>
      <c r="H28" t="s">
        <v>142</v>
      </c>
      <c r="I28" t="s">
        <v>33</v>
      </c>
      <c r="J28" s="17" t="s">
        <v>113</v>
      </c>
      <c r="K28">
        <v>5.99</v>
      </c>
      <c r="L28">
        <v>7.13</v>
      </c>
      <c r="M28">
        <v>119.80000000000001</v>
      </c>
      <c r="N28">
        <v>142.6</v>
      </c>
      <c r="O28" s="17" t="s">
        <v>362</v>
      </c>
    </row>
    <row r="29" spans="1:15" x14ac:dyDescent="0.3">
      <c r="A29">
        <v>1.28</v>
      </c>
      <c r="B29" t="s">
        <v>20</v>
      </c>
      <c r="C29" t="s">
        <v>21</v>
      </c>
      <c r="D29" t="s">
        <v>106</v>
      </c>
      <c r="F29" t="s">
        <v>93</v>
      </c>
      <c r="G29">
        <v>2</v>
      </c>
      <c r="H29" t="s">
        <v>141</v>
      </c>
      <c r="I29" t="s">
        <v>33</v>
      </c>
      <c r="J29" s="17" t="s">
        <v>114</v>
      </c>
      <c r="K29">
        <v>29.99</v>
      </c>
      <c r="L29">
        <v>36.880000000000003</v>
      </c>
      <c r="M29">
        <v>59.98</v>
      </c>
      <c r="N29">
        <v>73.760000000000005</v>
      </c>
      <c r="O29" s="17" t="s">
        <v>362</v>
      </c>
    </row>
    <row r="30" spans="1:15" x14ac:dyDescent="0.3">
      <c r="A30">
        <v>1.29</v>
      </c>
      <c r="B30" t="s">
        <v>20</v>
      </c>
      <c r="C30" t="s">
        <v>21</v>
      </c>
      <c r="D30" t="s">
        <v>106</v>
      </c>
      <c r="F30" t="s">
        <v>94</v>
      </c>
      <c r="G30">
        <v>2</v>
      </c>
      <c r="H30" t="s">
        <v>140</v>
      </c>
      <c r="I30" t="s">
        <v>33</v>
      </c>
      <c r="J30" s="17" t="s">
        <v>115</v>
      </c>
      <c r="K30">
        <v>21.99</v>
      </c>
      <c r="L30">
        <v>26.17</v>
      </c>
      <c r="M30">
        <v>43.98</v>
      </c>
      <c r="N30">
        <v>52.34</v>
      </c>
      <c r="O30" s="17" t="s">
        <v>362</v>
      </c>
    </row>
    <row r="31" spans="1:15" x14ac:dyDescent="0.3">
      <c r="A31">
        <v>1.3</v>
      </c>
      <c r="B31" t="s">
        <v>20</v>
      </c>
      <c r="C31" t="s">
        <v>21</v>
      </c>
      <c r="D31" t="s">
        <v>80</v>
      </c>
      <c r="F31" t="s">
        <v>107</v>
      </c>
      <c r="G31">
        <v>1</v>
      </c>
      <c r="H31" t="s">
        <v>139</v>
      </c>
      <c r="I31" t="s">
        <v>38</v>
      </c>
      <c r="J31" s="17" t="s">
        <v>116</v>
      </c>
      <c r="L31">
        <v>63.99</v>
      </c>
      <c r="N31">
        <v>63.99</v>
      </c>
    </row>
    <row r="32" spans="1:15" x14ac:dyDescent="0.3">
      <c r="A32">
        <v>1.31</v>
      </c>
      <c r="B32" t="s">
        <v>20</v>
      </c>
      <c r="C32" t="s">
        <v>21</v>
      </c>
      <c r="D32" t="s">
        <v>80</v>
      </c>
      <c r="F32" t="s">
        <v>108</v>
      </c>
      <c r="G32">
        <v>1</v>
      </c>
      <c r="H32" t="s">
        <v>138</v>
      </c>
      <c r="I32" t="s">
        <v>38</v>
      </c>
      <c r="J32" s="17" t="s">
        <v>117</v>
      </c>
      <c r="L32">
        <v>109.9</v>
      </c>
      <c r="N32">
        <v>109.9</v>
      </c>
    </row>
    <row r="33" spans="1:15" x14ac:dyDescent="0.3">
      <c r="A33">
        <v>1.32</v>
      </c>
      <c r="B33" t="s">
        <v>20</v>
      </c>
      <c r="C33" t="s">
        <v>21</v>
      </c>
      <c r="D33" t="s">
        <v>80</v>
      </c>
      <c r="F33" t="s">
        <v>95</v>
      </c>
      <c r="G33">
        <v>1</v>
      </c>
      <c r="H33" t="s">
        <v>137</v>
      </c>
      <c r="I33" t="s">
        <v>19</v>
      </c>
      <c r="J33" s="17" t="s">
        <v>118</v>
      </c>
      <c r="L33">
        <v>25.2</v>
      </c>
      <c r="N33">
        <v>25.2</v>
      </c>
      <c r="O33" s="17" t="s">
        <v>362</v>
      </c>
    </row>
    <row r="34" spans="1:15" x14ac:dyDescent="0.3">
      <c r="A34">
        <v>1.33</v>
      </c>
      <c r="B34" t="s">
        <v>20</v>
      </c>
      <c r="C34" t="s">
        <v>21</v>
      </c>
      <c r="D34" t="s">
        <v>80</v>
      </c>
      <c r="F34" t="s">
        <v>96</v>
      </c>
      <c r="G34">
        <v>1</v>
      </c>
      <c r="H34" t="s">
        <v>137</v>
      </c>
      <c r="I34" t="s">
        <v>19</v>
      </c>
      <c r="J34" s="17" t="s">
        <v>119</v>
      </c>
      <c r="L34">
        <v>19.989999999999998</v>
      </c>
      <c r="N34">
        <v>19.989999999999998</v>
      </c>
      <c r="O34" s="17" t="s">
        <v>362</v>
      </c>
    </row>
    <row r="35" spans="1:15" x14ac:dyDescent="0.3">
      <c r="A35">
        <v>1.34</v>
      </c>
      <c r="B35" t="s">
        <v>20</v>
      </c>
      <c r="C35" t="s">
        <v>21</v>
      </c>
      <c r="D35" t="s">
        <v>98</v>
      </c>
      <c r="F35" t="s">
        <v>99</v>
      </c>
      <c r="G35">
        <v>2</v>
      </c>
      <c r="H35" t="s">
        <v>136</v>
      </c>
      <c r="I35" t="s">
        <v>135</v>
      </c>
      <c r="J35" s="17" t="s">
        <v>120</v>
      </c>
      <c r="K35">
        <v>729</v>
      </c>
      <c r="L35">
        <v>873.45</v>
      </c>
      <c r="M35">
        <v>1458</v>
      </c>
      <c r="N35">
        <v>1746.9</v>
      </c>
    </row>
    <row r="36" spans="1:15" x14ac:dyDescent="0.3">
      <c r="A36">
        <v>1.35</v>
      </c>
      <c r="B36" t="s">
        <v>20</v>
      </c>
      <c r="C36" t="s">
        <v>21</v>
      </c>
      <c r="D36" t="s">
        <v>106</v>
      </c>
      <c r="F36" t="s">
        <v>330</v>
      </c>
      <c r="G36">
        <v>1</v>
      </c>
      <c r="H36" t="s">
        <v>136</v>
      </c>
      <c r="I36" t="s">
        <v>33</v>
      </c>
      <c r="J36" s="17" t="s">
        <v>121</v>
      </c>
      <c r="K36">
        <v>259.99</v>
      </c>
      <c r="L36">
        <v>303.39</v>
      </c>
      <c r="M36">
        <v>259.99</v>
      </c>
      <c r="N36">
        <v>303.39</v>
      </c>
      <c r="O36" s="17" t="s">
        <v>362</v>
      </c>
    </row>
    <row r="37" spans="1:15" x14ac:dyDescent="0.3">
      <c r="A37">
        <v>1.36</v>
      </c>
      <c r="B37" t="s">
        <v>20</v>
      </c>
      <c r="C37" t="s">
        <v>21</v>
      </c>
      <c r="D37" t="s">
        <v>98</v>
      </c>
      <c r="F37" t="s">
        <v>331</v>
      </c>
      <c r="G37">
        <v>1</v>
      </c>
      <c r="H37" t="s">
        <v>136</v>
      </c>
      <c r="I37" t="s">
        <v>135</v>
      </c>
      <c r="J37" s="17" t="s">
        <v>122</v>
      </c>
      <c r="K37">
        <v>149</v>
      </c>
      <c r="L37">
        <v>183.25</v>
      </c>
      <c r="M37">
        <v>149</v>
      </c>
      <c r="N37">
        <v>183.25</v>
      </c>
    </row>
    <row r="38" spans="1:15" x14ac:dyDescent="0.3">
      <c r="A38">
        <v>1.37</v>
      </c>
      <c r="B38" t="s">
        <v>20</v>
      </c>
      <c r="C38" t="s">
        <v>21</v>
      </c>
      <c r="D38" t="s">
        <v>98</v>
      </c>
      <c r="F38" t="s">
        <v>332</v>
      </c>
      <c r="G38">
        <v>6</v>
      </c>
      <c r="H38" t="s">
        <v>147</v>
      </c>
      <c r="I38" t="s">
        <v>135</v>
      </c>
      <c r="J38" s="17" t="s">
        <v>123</v>
      </c>
      <c r="K38">
        <v>225.59</v>
      </c>
      <c r="L38">
        <v>274.39</v>
      </c>
      <c r="M38">
        <v>1353.54</v>
      </c>
      <c r="N38">
        <v>1646.34</v>
      </c>
    </row>
    <row r="39" spans="1:15" x14ac:dyDescent="0.3">
      <c r="A39">
        <v>1.38</v>
      </c>
      <c r="B39" t="s">
        <v>20</v>
      </c>
      <c r="C39" t="s">
        <v>21</v>
      </c>
      <c r="D39" t="s">
        <v>98</v>
      </c>
      <c r="F39" t="s">
        <v>100</v>
      </c>
      <c r="G39">
        <v>2</v>
      </c>
      <c r="H39" t="s">
        <v>146</v>
      </c>
      <c r="I39" t="s">
        <v>135</v>
      </c>
      <c r="J39" s="17" t="s">
        <v>124</v>
      </c>
      <c r="K39">
        <v>269</v>
      </c>
      <c r="L39">
        <v>326.05</v>
      </c>
      <c r="M39">
        <v>538</v>
      </c>
      <c r="N39">
        <v>652.1</v>
      </c>
    </row>
    <row r="40" spans="1:15" x14ac:dyDescent="0.3">
      <c r="A40">
        <v>1.39</v>
      </c>
      <c r="B40" t="s">
        <v>20</v>
      </c>
      <c r="C40" t="s">
        <v>21</v>
      </c>
      <c r="D40" t="s">
        <v>98</v>
      </c>
      <c r="F40" t="s">
        <v>148</v>
      </c>
      <c r="G40">
        <v>10</v>
      </c>
      <c r="H40" t="s">
        <v>136</v>
      </c>
      <c r="I40" t="s">
        <v>135</v>
      </c>
      <c r="J40" s="17" t="s">
        <v>125</v>
      </c>
      <c r="K40">
        <v>349</v>
      </c>
      <c r="L40">
        <v>415.904</v>
      </c>
      <c r="M40">
        <v>3490</v>
      </c>
      <c r="N40">
        <v>4159.04</v>
      </c>
    </row>
    <row r="41" spans="1:15" x14ac:dyDescent="0.3">
      <c r="A41">
        <v>1.4</v>
      </c>
      <c r="B41" t="s">
        <v>20</v>
      </c>
      <c r="C41" t="s">
        <v>21</v>
      </c>
      <c r="D41" t="s">
        <v>106</v>
      </c>
      <c r="F41" t="s">
        <v>101</v>
      </c>
      <c r="G41">
        <v>5</v>
      </c>
      <c r="H41" t="s">
        <v>149</v>
      </c>
      <c r="I41" t="s">
        <v>132</v>
      </c>
      <c r="J41" s="17" t="s">
        <v>126</v>
      </c>
      <c r="K41">
        <v>239</v>
      </c>
      <c r="L41">
        <v>284.41000000000003</v>
      </c>
      <c r="M41">
        <v>1195</v>
      </c>
      <c r="N41">
        <v>1422.0500000000002</v>
      </c>
    </row>
    <row r="42" spans="1:15" x14ac:dyDescent="0.3">
      <c r="A42">
        <v>1.41</v>
      </c>
      <c r="B42" t="s">
        <v>20</v>
      </c>
      <c r="C42" t="s">
        <v>21</v>
      </c>
      <c r="D42" t="s">
        <v>106</v>
      </c>
      <c r="F42" t="s">
        <v>102</v>
      </c>
      <c r="G42">
        <v>6</v>
      </c>
      <c r="H42" t="s">
        <v>75</v>
      </c>
      <c r="I42" t="s">
        <v>75</v>
      </c>
      <c r="J42" s="17" t="s">
        <v>127</v>
      </c>
      <c r="K42">
        <v>139</v>
      </c>
      <c r="L42">
        <v>165.41</v>
      </c>
      <c r="M42">
        <v>834</v>
      </c>
      <c r="N42">
        <v>992.46</v>
      </c>
      <c r="O42" s="17" t="s">
        <v>362</v>
      </c>
    </row>
    <row r="43" spans="1:15" x14ac:dyDescent="0.3">
      <c r="A43">
        <v>1.42</v>
      </c>
      <c r="B43" t="s">
        <v>20</v>
      </c>
      <c r="C43" t="s">
        <v>21</v>
      </c>
      <c r="D43" t="s">
        <v>106</v>
      </c>
      <c r="F43" t="s">
        <v>103</v>
      </c>
      <c r="G43">
        <v>3</v>
      </c>
      <c r="I43" t="s">
        <v>132</v>
      </c>
      <c r="J43" s="17" t="s">
        <v>128</v>
      </c>
      <c r="K43">
        <v>105</v>
      </c>
      <c r="L43">
        <v>124.9</v>
      </c>
      <c r="M43">
        <v>315</v>
      </c>
      <c r="N43">
        <v>374.70000000000005</v>
      </c>
    </row>
    <row r="44" spans="1:15" x14ac:dyDescent="0.3">
      <c r="A44">
        <v>1.43</v>
      </c>
      <c r="B44" t="s">
        <v>20</v>
      </c>
      <c r="C44" t="s">
        <v>21</v>
      </c>
      <c r="D44" t="s">
        <v>106</v>
      </c>
      <c r="F44" t="s">
        <v>151</v>
      </c>
      <c r="G44">
        <v>5</v>
      </c>
      <c r="I44" t="s">
        <v>133</v>
      </c>
      <c r="J44" s="17" t="s">
        <v>129</v>
      </c>
      <c r="K44">
        <v>563.87</v>
      </c>
      <c r="L44">
        <v>671</v>
      </c>
      <c r="M44">
        <v>2819.35</v>
      </c>
      <c r="N44">
        <v>3355</v>
      </c>
    </row>
    <row r="45" spans="1:15" x14ac:dyDescent="0.3">
      <c r="A45">
        <v>1.44</v>
      </c>
      <c r="B45" t="s">
        <v>20</v>
      </c>
      <c r="C45" t="s">
        <v>21</v>
      </c>
      <c r="D45" t="s">
        <v>106</v>
      </c>
      <c r="F45" t="s">
        <v>104</v>
      </c>
      <c r="G45">
        <v>2</v>
      </c>
      <c r="H45" t="s">
        <v>152</v>
      </c>
      <c r="I45" t="s">
        <v>135</v>
      </c>
      <c r="J45" s="17" t="s">
        <v>130</v>
      </c>
      <c r="K45">
        <v>444.99</v>
      </c>
      <c r="L45">
        <v>535.48</v>
      </c>
      <c r="M45">
        <v>889.98</v>
      </c>
      <c r="N45">
        <v>1070.96</v>
      </c>
      <c r="O45" s="17" t="s">
        <v>362</v>
      </c>
    </row>
    <row r="46" spans="1:15" x14ac:dyDescent="0.3">
      <c r="A46">
        <v>1.45</v>
      </c>
      <c r="B46" t="s">
        <v>20</v>
      </c>
      <c r="C46" t="s">
        <v>21</v>
      </c>
      <c r="D46" t="s">
        <v>106</v>
      </c>
      <c r="F46" t="s">
        <v>105</v>
      </c>
      <c r="G46">
        <v>2</v>
      </c>
      <c r="H46" t="s">
        <v>152</v>
      </c>
      <c r="I46" t="s">
        <v>135</v>
      </c>
      <c r="J46" s="17" t="s">
        <v>131</v>
      </c>
      <c r="K46">
        <v>644.99</v>
      </c>
      <c r="L46">
        <v>773.48</v>
      </c>
      <c r="M46">
        <v>1289.98</v>
      </c>
      <c r="N46">
        <v>1546.96</v>
      </c>
      <c r="O46" s="17" t="s">
        <v>362</v>
      </c>
    </row>
    <row r="47" spans="1:15" x14ac:dyDescent="0.3">
      <c r="A47">
        <v>1.46</v>
      </c>
      <c r="B47" t="s">
        <v>20</v>
      </c>
      <c r="C47" t="s">
        <v>21</v>
      </c>
      <c r="D47" t="s">
        <v>251</v>
      </c>
      <c r="F47" t="s">
        <v>267</v>
      </c>
      <c r="G47">
        <v>1</v>
      </c>
      <c r="H47" t="s">
        <v>268</v>
      </c>
      <c r="I47" t="s">
        <v>269</v>
      </c>
      <c r="K47">
        <v>8084.34</v>
      </c>
      <c r="L47">
        <v>9620.36</v>
      </c>
      <c r="M47">
        <v>8084.34</v>
      </c>
      <c r="N47">
        <v>9620.36</v>
      </c>
    </row>
    <row r="48" spans="1:15" x14ac:dyDescent="0.3">
      <c r="A48">
        <v>1.47</v>
      </c>
      <c r="B48" t="s">
        <v>20</v>
      </c>
      <c r="C48" t="s">
        <v>21</v>
      </c>
      <c r="D48" t="s">
        <v>251</v>
      </c>
      <c r="F48" t="s">
        <v>270</v>
      </c>
      <c r="G48">
        <v>1</v>
      </c>
      <c r="H48" t="s">
        <v>271</v>
      </c>
      <c r="I48" t="s">
        <v>272</v>
      </c>
      <c r="K48">
        <v>1901</v>
      </c>
      <c r="L48">
        <v>2262.19</v>
      </c>
      <c r="M48">
        <v>1901</v>
      </c>
      <c r="N48">
        <v>2262.19</v>
      </c>
      <c r="O48" s="17" t="s">
        <v>449</v>
      </c>
    </row>
    <row r="49" spans="1:14" x14ac:dyDescent="0.3">
      <c r="A49">
        <v>1.48</v>
      </c>
      <c r="B49" t="s">
        <v>20</v>
      </c>
      <c r="C49" t="s">
        <v>21</v>
      </c>
      <c r="D49" t="s">
        <v>251</v>
      </c>
      <c r="F49" t="s">
        <v>273</v>
      </c>
      <c r="G49">
        <v>1</v>
      </c>
      <c r="H49" t="s">
        <v>396</v>
      </c>
      <c r="M49">
        <v>0</v>
      </c>
      <c r="N49">
        <v>0</v>
      </c>
    </row>
    <row r="50" spans="1:14" x14ac:dyDescent="0.3">
      <c r="A50">
        <v>2.0099999999999998</v>
      </c>
      <c r="B50" t="s">
        <v>153</v>
      </c>
      <c r="C50" t="s">
        <v>21</v>
      </c>
      <c r="D50" t="s">
        <v>98</v>
      </c>
      <c r="F50" t="s">
        <v>100</v>
      </c>
      <c r="G50">
        <v>2</v>
      </c>
      <c r="H50" t="s">
        <v>228</v>
      </c>
      <c r="I50" t="s">
        <v>226</v>
      </c>
      <c r="J50" s="17" t="s">
        <v>227</v>
      </c>
      <c r="L50">
        <v>174.9</v>
      </c>
      <c r="M50">
        <v>0</v>
      </c>
      <c r="N50">
        <v>349.8</v>
      </c>
    </row>
    <row r="51" spans="1:14" x14ac:dyDescent="0.3">
      <c r="A51">
        <v>2.02</v>
      </c>
      <c r="B51" t="s">
        <v>153</v>
      </c>
      <c r="C51" t="s">
        <v>21</v>
      </c>
      <c r="D51" t="s">
        <v>98</v>
      </c>
      <c r="F51" t="s">
        <v>265</v>
      </c>
      <c r="G51">
        <v>1</v>
      </c>
      <c r="H51" t="s">
        <v>230</v>
      </c>
      <c r="I51" t="s">
        <v>231</v>
      </c>
      <c r="J51" s="17" t="s">
        <v>229</v>
      </c>
      <c r="L51">
        <v>1129</v>
      </c>
      <c r="M51">
        <v>0</v>
      </c>
      <c r="N51">
        <v>1129</v>
      </c>
    </row>
    <row r="52" spans="1:14" x14ac:dyDescent="0.3">
      <c r="A52">
        <v>2.0299999999999998</v>
      </c>
      <c r="B52" t="s">
        <v>153</v>
      </c>
      <c r="C52" t="s">
        <v>21</v>
      </c>
      <c r="D52" t="s">
        <v>357</v>
      </c>
      <c r="E52" t="s">
        <v>154</v>
      </c>
      <c r="F52" t="s">
        <v>447</v>
      </c>
      <c r="G52">
        <v>1</v>
      </c>
      <c r="H52" t="s">
        <v>450</v>
      </c>
      <c r="I52" t="s">
        <v>346</v>
      </c>
      <c r="L52">
        <v>758.75</v>
      </c>
      <c r="N52">
        <v>758.75</v>
      </c>
    </row>
    <row r="53" spans="1:14" x14ac:dyDescent="0.3">
      <c r="A53">
        <v>2.04</v>
      </c>
      <c r="B53" t="s">
        <v>153</v>
      </c>
      <c r="C53" t="s">
        <v>21</v>
      </c>
      <c r="D53" t="s">
        <v>357</v>
      </c>
      <c r="E53" t="s">
        <v>218</v>
      </c>
      <c r="F53" t="s">
        <v>338</v>
      </c>
      <c r="G53">
        <v>1</v>
      </c>
      <c r="I53" t="s">
        <v>346</v>
      </c>
      <c r="M53">
        <v>0</v>
      </c>
      <c r="N53">
        <v>0</v>
      </c>
    </row>
    <row r="54" spans="1:14" x14ac:dyDescent="0.3">
      <c r="A54">
        <v>2.0499999999999998</v>
      </c>
      <c r="B54" t="s">
        <v>153</v>
      </c>
      <c r="C54" t="s">
        <v>21</v>
      </c>
      <c r="D54" t="s">
        <v>357</v>
      </c>
      <c r="E54" t="s">
        <v>155</v>
      </c>
      <c r="F54" t="s">
        <v>155</v>
      </c>
      <c r="G54">
        <v>1</v>
      </c>
      <c r="M54">
        <v>0</v>
      </c>
      <c r="N54">
        <v>0</v>
      </c>
    </row>
    <row r="55" spans="1:14" x14ac:dyDescent="0.3">
      <c r="A55">
        <v>2.06</v>
      </c>
      <c r="B55" t="s">
        <v>153</v>
      </c>
      <c r="C55" t="s">
        <v>21</v>
      </c>
      <c r="D55" t="s">
        <v>357</v>
      </c>
      <c r="E55" t="s">
        <v>6</v>
      </c>
      <c r="F55" t="s">
        <v>451</v>
      </c>
      <c r="G55">
        <v>10</v>
      </c>
      <c r="H55" t="s">
        <v>9</v>
      </c>
      <c r="I55" t="s">
        <v>346</v>
      </c>
      <c r="L55">
        <v>430</v>
      </c>
      <c r="M55">
        <v>0</v>
      </c>
      <c r="N55">
        <v>4300</v>
      </c>
    </row>
    <row r="56" spans="1:14" x14ac:dyDescent="0.3">
      <c r="A56">
        <v>2.0699999999999998</v>
      </c>
      <c r="B56" t="s">
        <v>153</v>
      </c>
      <c r="C56" t="s">
        <v>21</v>
      </c>
      <c r="D56" t="s">
        <v>357</v>
      </c>
      <c r="E56" t="s">
        <v>339</v>
      </c>
      <c r="F56" t="s">
        <v>340</v>
      </c>
      <c r="G56">
        <v>10</v>
      </c>
      <c r="H56" t="s">
        <v>225</v>
      </c>
      <c r="I56" t="s">
        <v>19</v>
      </c>
      <c r="J56" s="17" t="s">
        <v>224</v>
      </c>
      <c r="L56">
        <v>269.99</v>
      </c>
      <c r="M56">
        <v>0</v>
      </c>
      <c r="N56">
        <v>2699.9</v>
      </c>
    </row>
    <row r="57" spans="1:14" x14ac:dyDescent="0.3">
      <c r="A57">
        <v>2.08</v>
      </c>
      <c r="B57" t="s">
        <v>153</v>
      </c>
      <c r="C57" t="s">
        <v>21</v>
      </c>
      <c r="D57" t="s">
        <v>357</v>
      </c>
      <c r="E57" t="s">
        <v>341</v>
      </c>
      <c r="F57" t="s">
        <v>156</v>
      </c>
      <c r="G57">
        <v>1</v>
      </c>
      <c r="H57" t="s">
        <v>223</v>
      </c>
      <c r="I57" t="s">
        <v>62</v>
      </c>
      <c r="K57">
        <v>629.41</v>
      </c>
      <c r="L57">
        <v>749</v>
      </c>
      <c r="M57">
        <v>629.41</v>
      </c>
      <c r="N57">
        <v>749</v>
      </c>
    </row>
    <row r="58" spans="1:14" x14ac:dyDescent="0.3">
      <c r="A58">
        <v>2.09</v>
      </c>
      <c r="B58" t="s">
        <v>153</v>
      </c>
      <c r="C58" t="s">
        <v>21</v>
      </c>
      <c r="D58" t="s">
        <v>357</v>
      </c>
      <c r="E58" t="s">
        <v>157</v>
      </c>
      <c r="F58" t="s">
        <v>222</v>
      </c>
      <c r="G58">
        <v>1</v>
      </c>
      <c r="H58" t="s">
        <v>221</v>
      </c>
      <c r="I58" t="s">
        <v>62</v>
      </c>
      <c r="J58" s="17" t="s">
        <v>220</v>
      </c>
      <c r="K58">
        <v>1189.08</v>
      </c>
      <c r="L58">
        <v>1415.01</v>
      </c>
      <c r="M58">
        <v>1189.08</v>
      </c>
      <c r="N58">
        <v>1415.01</v>
      </c>
    </row>
    <row r="59" spans="1:14" x14ac:dyDescent="0.3">
      <c r="A59">
        <v>2.1</v>
      </c>
      <c r="B59" t="s">
        <v>153</v>
      </c>
      <c r="C59" t="s">
        <v>21</v>
      </c>
      <c r="D59" t="s">
        <v>357</v>
      </c>
      <c r="E59" t="s">
        <v>18</v>
      </c>
      <c r="F59" t="s">
        <v>158</v>
      </c>
      <c r="G59">
        <v>1</v>
      </c>
      <c r="M59">
        <v>0</v>
      </c>
      <c r="N59">
        <v>0</v>
      </c>
    </row>
    <row r="60" spans="1:14" x14ac:dyDescent="0.3">
      <c r="A60">
        <v>2.11</v>
      </c>
      <c r="B60" t="s">
        <v>153</v>
      </c>
      <c r="C60" t="s">
        <v>21</v>
      </c>
      <c r="D60" t="s">
        <v>357</v>
      </c>
      <c r="E60" t="s">
        <v>335</v>
      </c>
      <c r="F60" t="s">
        <v>232</v>
      </c>
      <c r="G60">
        <v>2</v>
      </c>
      <c r="M60">
        <v>0</v>
      </c>
      <c r="N60">
        <v>0</v>
      </c>
    </row>
    <row r="61" spans="1:14" x14ac:dyDescent="0.3">
      <c r="A61">
        <v>2.12</v>
      </c>
      <c r="B61" t="s">
        <v>153</v>
      </c>
      <c r="C61" t="s">
        <v>21</v>
      </c>
      <c r="D61" t="s">
        <v>74</v>
      </c>
      <c r="E61" t="s">
        <v>15</v>
      </c>
      <c r="F61" t="s">
        <v>453</v>
      </c>
      <c r="G61">
        <v>1</v>
      </c>
      <c r="M61">
        <v>0</v>
      </c>
      <c r="N61">
        <v>0</v>
      </c>
    </row>
    <row r="62" spans="1:14" x14ac:dyDescent="0.3">
      <c r="A62">
        <v>2.13</v>
      </c>
      <c r="B62" t="s">
        <v>153</v>
      </c>
      <c r="C62" t="s">
        <v>21</v>
      </c>
      <c r="D62" t="s">
        <v>357</v>
      </c>
      <c r="E62" t="s">
        <v>342</v>
      </c>
      <c r="F62" t="s">
        <v>159</v>
      </c>
      <c r="G62">
        <v>1</v>
      </c>
      <c r="H62" t="s">
        <v>456</v>
      </c>
      <c r="I62" t="s">
        <v>455</v>
      </c>
      <c r="L62">
        <v>4000</v>
      </c>
      <c r="M62">
        <v>0</v>
      </c>
      <c r="N62">
        <v>4000</v>
      </c>
    </row>
    <row r="63" spans="1:14" x14ac:dyDescent="0.3">
      <c r="A63">
        <v>2.14</v>
      </c>
      <c r="B63" t="s">
        <v>153</v>
      </c>
      <c r="C63" t="s">
        <v>21</v>
      </c>
      <c r="D63" t="s">
        <v>357</v>
      </c>
      <c r="F63" t="s">
        <v>160</v>
      </c>
      <c r="G63">
        <v>1</v>
      </c>
      <c r="H63" t="s">
        <v>202</v>
      </c>
      <c r="I63" t="s">
        <v>202</v>
      </c>
      <c r="J63" s="17" t="s">
        <v>203</v>
      </c>
      <c r="K63">
        <v>6966.39</v>
      </c>
      <c r="L63">
        <v>8290</v>
      </c>
      <c r="M63">
        <v>6966.39</v>
      </c>
      <c r="N63">
        <v>8290</v>
      </c>
    </row>
    <row r="64" spans="1:14" x14ac:dyDescent="0.3">
      <c r="A64">
        <v>2.15</v>
      </c>
      <c r="B64" t="s">
        <v>153</v>
      </c>
      <c r="C64" t="s">
        <v>21</v>
      </c>
      <c r="D64" t="s">
        <v>251</v>
      </c>
      <c r="F64" t="s">
        <v>274</v>
      </c>
      <c r="G64">
        <v>1</v>
      </c>
      <c r="H64" t="s">
        <v>275</v>
      </c>
      <c r="L64">
        <v>19000</v>
      </c>
      <c r="M64">
        <v>0</v>
      </c>
      <c r="N64">
        <v>19000</v>
      </c>
    </row>
    <row r="65" spans="1:14" x14ac:dyDescent="0.3">
      <c r="A65">
        <v>3.01</v>
      </c>
      <c r="B65" t="s">
        <v>161</v>
      </c>
      <c r="C65" t="s">
        <v>21</v>
      </c>
      <c r="D65" t="s">
        <v>357</v>
      </c>
      <c r="E65" t="s">
        <v>18</v>
      </c>
      <c r="F65" t="s">
        <v>300</v>
      </c>
      <c r="G65">
        <v>1</v>
      </c>
      <c r="H65" t="s">
        <v>26</v>
      </c>
      <c r="I65" t="s">
        <v>26</v>
      </c>
      <c r="J65" s="17" t="s">
        <v>301</v>
      </c>
      <c r="K65">
        <v>4522.28</v>
      </c>
      <c r="L65">
        <v>5381.51</v>
      </c>
      <c r="M65">
        <v>4522.28</v>
      </c>
      <c r="N65">
        <v>5381.51</v>
      </c>
    </row>
    <row r="66" spans="1:14" x14ac:dyDescent="0.3">
      <c r="A66">
        <v>3.02</v>
      </c>
      <c r="B66" t="s">
        <v>161</v>
      </c>
      <c r="C66" t="s">
        <v>21</v>
      </c>
      <c r="D66" t="s">
        <v>357</v>
      </c>
      <c r="E66" t="s">
        <v>345</v>
      </c>
      <c r="F66" t="s">
        <v>297</v>
      </c>
      <c r="G66">
        <v>1</v>
      </c>
      <c r="H66" t="s">
        <v>184</v>
      </c>
      <c r="I66" t="s">
        <v>298</v>
      </c>
      <c r="J66" s="17" t="s">
        <v>299</v>
      </c>
      <c r="K66">
        <v>1370</v>
      </c>
      <c r="L66">
        <v>1630.3</v>
      </c>
      <c r="M66">
        <v>1370</v>
      </c>
      <c r="N66">
        <v>1630.3</v>
      </c>
    </row>
    <row r="67" spans="1:14" x14ac:dyDescent="0.3">
      <c r="A67">
        <v>3.03</v>
      </c>
      <c r="B67" t="s">
        <v>161</v>
      </c>
      <c r="C67" t="s">
        <v>21</v>
      </c>
      <c r="D67" t="s">
        <v>357</v>
      </c>
      <c r="E67" t="s">
        <v>351</v>
      </c>
      <c r="F67" t="s">
        <v>352</v>
      </c>
      <c r="G67">
        <v>1</v>
      </c>
      <c r="H67" t="s">
        <v>290</v>
      </c>
      <c r="I67" t="s">
        <v>291</v>
      </c>
      <c r="J67" s="17" t="s">
        <v>292</v>
      </c>
      <c r="L67">
        <v>489</v>
      </c>
      <c r="N67">
        <v>489</v>
      </c>
    </row>
    <row r="68" spans="1:14" x14ac:dyDescent="0.3">
      <c r="A68">
        <v>3.04</v>
      </c>
      <c r="B68" t="s">
        <v>161</v>
      </c>
      <c r="C68" t="s">
        <v>21</v>
      </c>
      <c r="D68" t="s">
        <v>357</v>
      </c>
      <c r="F68" t="s">
        <v>296</v>
      </c>
      <c r="G68">
        <v>1</v>
      </c>
      <c r="H68" t="s">
        <v>295</v>
      </c>
      <c r="I68" t="s">
        <v>294</v>
      </c>
      <c r="J68" s="17" t="s">
        <v>293</v>
      </c>
      <c r="L68">
        <v>52.99</v>
      </c>
      <c r="N68">
        <v>52.99</v>
      </c>
    </row>
    <row r="69" spans="1:14" x14ac:dyDescent="0.3">
      <c r="A69">
        <v>3.05</v>
      </c>
      <c r="B69" t="s">
        <v>161</v>
      </c>
      <c r="C69" t="s">
        <v>21</v>
      </c>
      <c r="D69" t="s">
        <v>357</v>
      </c>
      <c r="E69" t="s">
        <v>353</v>
      </c>
      <c r="F69" t="s">
        <v>354</v>
      </c>
      <c r="G69">
        <v>1</v>
      </c>
      <c r="H69" t="s">
        <v>302</v>
      </c>
      <c r="I69" t="s">
        <v>303</v>
      </c>
      <c r="J69" s="17" t="s">
        <v>304</v>
      </c>
      <c r="L69">
        <v>1699</v>
      </c>
      <c r="N69">
        <v>1699</v>
      </c>
    </row>
    <row r="70" spans="1:14" x14ac:dyDescent="0.3">
      <c r="A70">
        <v>3.06</v>
      </c>
      <c r="B70" t="s">
        <v>161</v>
      </c>
      <c r="C70" t="s">
        <v>21</v>
      </c>
      <c r="D70" t="s">
        <v>357</v>
      </c>
      <c r="E70" t="s">
        <v>6</v>
      </c>
      <c r="F70" t="s">
        <v>344</v>
      </c>
      <c r="G70">
        <v>1</v>
      </c>
      <c r="H70" t="s">
        <v>9</v>
      </c>
      <c r="I70" t="s">
        <v>305</v>
      </c>
      <c r="L70">
        <v>400</v>
      </c>
      <c r="N70">
        <v>400</v>
      </c>
    </row>
    <row r="71" spans="1:14" x14ac:dyDescent="0.3">
      <c r="A71">
        <v>3.07</v>
      </c>
      <c r="B71" t="s">
        <v>161</v>
      </c>
      <c r="C71" t="s">
        <v>21</v>
      </c>
      <c r="D71" t="s">
        <v>357</v>
      </c>
      <c r="E71" t="s">
        <v>154</v>
      </c>
      <c r="F71" t="s">
        <v>154</v>
      </c>
      <c r="G71">
        <v>1</v>
      </c>
      <c r="H71" t="s">
        <v>257</v>
      </c>
      <c r="I71" t="s">
        <v>258</v>
      </c>
      <c r="L71">
        <v>820</v>
      </c>
      <c r="N71">
        <v>820</v>
      </c>
    </row>
    <row r="72" spans="1:14" x14ac:dyDescent="0.3">
      <c r="A72">
        <v>3.08</v>
      </c>
      <c r="B72" t="s">
        <v>161</v>
      </c>
      <c r="C72" t="s">
        <v>21</v>
      </c>
      <c r="D72" t="s">
        <v>74</v>
      </c>
      <c r="F72" t="s">
        <v>162</v>
      </c>
      <c r="G72">
        <v>1</v>
      </c>
      <c r="H72" t="s">
        <v>256</v>
      </c>
      <c r="L72">
        <v>50</v>
      </c>
      <c r="N72">
        <v>50</v>
      </c>
    </row>
    <row r="73" spans="1:14" x14ac:dyDescent="0.3">
      <c r="A73">
        <v>3.09</v>
      </c>
      <c r="B73" t="s">
        <v>161</v>
      </c>
      <c r="C73" t="s">
        <v>21</v>
      </c>
      <c r="D73" t="s">
        <v>357</v>
      </c>
      <c r="E73" t="s">
        <v>350</v>
      </c>
      <c r="F73" t="s">
        <v>289</v>
      </c>
      <c r="G73">
        <v>1</v>
      </c>
      <c r="H73" t="s">
        <v>68</v>
      </c>
      <c r="L73">
        <v>80</v>
      </c>
      <c r="N73">
        <v>80</v>
      </c>
    </row>
    <row r="74" spans="1:14" x14ac:dyDescent="0.3">
      <c r="A74">
        <v>3.1</v>
      </c>
      <c r="B74" t="s">
        <v>161</v>
      </c>
      <c r="C74" t="s">
        <v>21</v>
      </c>
      <c r="D74" t="s">
        <v>357</v>
      </c>
      <c r="F74" t="s">
        <v>323</v>
      </c>
      <c r="G74">
        <v>4</v>
      </c>
      <c r="H74" t="s">
        <v>395</v>
      </c>
      <c r="L74">
        <v>200</v>
      </c>
      <c r="N74">
        <v>800</v>
      </c>
    </row>
    <row r="75" spans="1:14" x14ac:dyDescent="0.3">
      <c r="A75">
        <v>3.11</v>
      </c>
      <c r="B75" t="s">
        <v>161</v>
      </c>
      <c r="C75" t="s">
        <v>163</v>
      </c>
      <c r="D75" t="s">
        <v>357</v>
      </c>
      <c r="F75" t="s">
        <v>324</v>
      </c>
      <c r="G75">
        <v>1</v>
      </c>
      <c r="H75" t="s">
        <v>395</v>
      </c>
      <c r="L75">
        <v>185.64</v>
      </c>
      <c r="N75">
        <v>185.64</v>
      </c>
    </row>
    <row r="76" spans="1:14" x14ac:dyDescent="0.3">
      <c r="A76">
        <v>3.12</v>
      </c>
      <c r="B76" t="s">
        <v>161</v>
      </c>
      <c r="C76" t="s">
        <v>21</v>
      </c>
      <c r="D76" t="s">
        <v>357</v>
      </c>
      <c r="F76" t="s">
        <v>325</v>
      </c>
      <c r="G76">
        <v>1</v>
      </c>
      <c r="H76" t="s">
        <v>395</v>
      </c>
      <c r="L76">
        <v>121.54</v>
      </c>
      <c r="N76">
        <v>121.54</v>
      </c>
    </row>
    <row r="77" spans="1:14" x14ac:dyDescent="0.3">
      <c r="A77">
        <v>3.13</v>
      </c>
      <c r="B77" t="s">
        <v>161</v>
      </c>
      <c r="C77" t="s">
        <v>21</v>
      </c>
      <c r="D77" t="s">
        <v>357</v>
      </c>
      <c r="F77" t="s">
        <v>326</v>
      </c>
      <c r="G77">
        <v>1</v>
      </c>
      <c r="H77" t="s">
        <v>395</v>
      </c>
      <c r="L77">
        <v>150</v>
      </c>
      <c r="N77">
        <v>150</v>
      </c>
    </row>
    <row r="78" spans="1:14" x14ac:dyDescent="0.3">
      <c r="A78">
        <v>3.14</v>
      </c>
      <c r="B78" t="s">
        <v>161</v>
      </c>
      <c r="C78" t="s">
        <v>21</v>
      </c>
      <c r="D78" t="s">
        <v>357</v>
      </c>
      <c r="F78" t="s">
        <v>459</v>
      </c>
      <c r="G78">
        <v>1</v>
      </c>
      <c r="H78" t="s">
        <v>395</v>
      </c>
      <c r="L78">
        <v>1.5</v>
      </c>
      <c r="N78">
        <v>350</v>
      </c>
    </row>
    <row r="79" spans="1:14" x14ac:dyDescent="0.3">
      <c r="A79">
        <v>3.15</v>
      </c>
      <c r="B79" t="s">
        <v>161</v>
      </c>
      <c r="C79" t="s">
        <v>21</v>
      </c>
      <c r="D79" t="s">
        <v>357</v>
      </c>
      <c r="F79" t="s">
        <v>327</v>
      </c>
      <c r="G79">
        <v>10</v>
      </c>
      <c r="L79">
        <v>35</v>
      </c>
      <c r="N79">
        <v>350</v>
      </c>
    </row>
    <row r="80" spans="1:14" x14ac:dyDescent="0.3">
      <c r="A80">
        <v>3.16</v>
      </c>
      <c r="B80" t="s">
        <v>161</v>
      </c>
      <c r="C80" t="s">
        <v>21</v>
      </c>
      <c r="D80" t="s">
        <v>357</v>
      </c>
      <c r="F80" t="s">
        <v>328</v>
      </c>
      <c r="G80">
        <v>1</v>
      </c>
      <c r="L80">
        <v>500</v>
      </c>
      <c r="N80">
        <v>500</v>
      </c>
    </row>
    <row r="81" spans="1:14" x14ac:dyDescent="0.3">
      <c r="A81">
        <v>3.17</v>
      </c>
      <c r="B81" t="s">
        <v>161</v>
      </c>
      <c r="C81" t="s">
        <v>21</v>
      </c>
      <c r="D81" t="s">
        <v>357</v>
      </c>
      <c r="F81" t="s">
        <v>329</v>
      </c>
      <c r="G81">
        <v>1</v>
      </c>
      <c r="L81">
        <v>50</v>
      </c>
      <c r="N81">
        <v>50</v>
      </c>
    </row>
    <row r="82" spans="1:14" x14ac:dyDescent="0.3">
      <c r="A82">
        <v>3.18</v>
      </c>
      <c r="B82" t="s">
        <v>161</v>
      </c>
      <c r="C82" t="s">
        <v>21</v>
      </c>
      <c r="D82" t="s">
        <v>253</v>
      </c>
      <c r="F82" t="s">
        <v>254</v>
      </c>
      <c r="G82">
        <v>1</v>
      </c>
      <c r="H82" t="s">
        <v>255</v>
      </c>
      <c r="L82">
        <v>100</v>
      </c>
      <c r="N82">
        <v>100</v>
      </c>
    </row>
    <row r="83" spans="1:14" x14ac:dyDescent="0.3">
      <c r="A83">
        <v>3.19</v>
      </c>
      <c r="B83" t="s">
        <v>161</v>
      </c>
      <c r="C83" t="s">
        <v>163</v>
      </c>
      <c r="D83" t="s">
        <v>259</v>
      </c>
      <c r="F83" t="s">
        <v>164</v>
      </c>
      <c r="G83">
        <v>2</v>
      </c>
      <c r="H83" t="s">
        <v>260</v>
      </c>
      <c r="I83" t="s">
        <v>306</v>
      </c>
      <c r="M83">
        <v>4260.3599999999997</v>
      </c>
      <c r="N83">
        <v>5069.84</v>
      </c>
    </row>
    <row r="84" spans="1:14" x14ac:dyDescent="0.3">
      <c r="A84">
        <v>3.2</v>
      </c>
      <c r="B84" t="s">
        <v>161</v>
      </c>
      <c r="C84" t="s">
        <v>163</v>
      </c>
      <c r="D84" t="s">
        <v>248</v>
      </c>
      <c r="F84" t="s">
        <v>247</v>
      </c>
      <c r="G84">
        <v>1</v>
      </c>
      <c r="H84" t="s">
        <v>277</v>
      </c>
      <c r="L84">
        <v>350</v>
      </c>
      <c r="N84">
        <v>350</v>
      </c>
    </row>
    <row r="85" spans="1:14" x14ac:dyDescent="0.3">
      <c r="A85">
        <v>3.21</v>
      </c>
      <c r="B85" t="s">
        <v>161</v>
      </c>
      <c r="F85" t="s">
        <v>278</v>
      </c>
      <c r="H85" t="s">
        <v>359</v>
      </c>
    </row>
    <row r="86" spans="1:14" x14ac:dyDescent="0.3">
      <c r="A86">
        <v>3.22</v>
      </c>
      <c r="B86" t="s">
        <v>161</v>
      </c>
      <c r="F86" t="s">
        <v>279</v>
      </c>
    </row>
    <row r="87" spans="1:14" x14ac:dyDescent="0.3">
      <c r="A87">
        <v>3.23</v>
      </c>
      <c r="B87" t="s">
        <v>161</v>
      </c>
      <c r="F87" t="s">
        <v>280</v>
      </c>
    </row>
    <row r="88" spans="1:14" x14ac:dyDescent="0.3">
      <c r="A88">
        <v>3.24</v>
      </c>
      <c r="B88" t="s">
        <v>161</v>
      </c>
      <c r="F88" t="s">
        <v>281</v>
      </c>
    </row>
    <row r="89" spans="1:14" x14ac:dyDescent="0.3">
      <c r="A89">
        <v>3.2500000000000102</v>
      </c>
      <c r="B89" t="s">
        <v>161</v>
      </c>
      <c r="F89" t="s">
        <v>282</v>
      </c>
    </row>
    <row r="90" spans="1:14" x14ac:dyDescent="0.3">
      <c r="A90">
        <v>3.26000000000001</v>
      </c>
      <c r="B90" t="s">
        <v>161</v>
      </c>
      <c r="F90" t="s">
        <v>283</v>
      </c>
    </row>
    <row r="91" spans="1:14" x14ac:dyDescent="0.3">
      <c r="A91">
        <v>3.2700000000000098</v>
      </c>
      <c r="B91" t="s">
        <v>161</v>
      </c>
      <c r="F91" t="s">
        <v>284</v>
      </c>
    </row>
    <row r="92" spans="1:14" x14ac:dyDescent="0.3">
      <c r="A92">
        <v>3.28000000000001</v>
      </c>
      <c r="B92" t="s">
        <v>161</v>
      </c>
      <c r="F92" t="s">
        <v>285</v>
      </c>
    </row>
    <row r="93" spans="1:14" x14ac:dyDescent="0.3">
      <c r="A93">
        <v>3.2900000000000098</v>
      </c>
      <c r="B93" t="s">
        <v>161</v>
      </c>
      <c r="F93" t="s">
        <v>286</v>
      </c>
    </row>
    <row r="94" spans="1:14" x14ac:dyDescent="0.3">
      <c r="A94">
        <v>3.30000000000001</v>
      </c>
      <c r="B94" t="s">
        <v>161</v>
      </c>
      <c r="C94" t="s">
        <v>165</v>
      </c>
      <c r="D94" t="s">
        <v>251</v>
      </c>
      <c r="F94" t="s">
        <v>358</v>
      </c>
      <c r="G94">
        <v>1</v>
      </c>
      <c r="I94" t="s">
        <v>252</v>
      </c>
      <c r="L94">
        <v>1500</v>
      </c>
      <c r="N94">
        <v>1500</v>
      </c>
    </row>
    <row r="95" spans="1:14" x14ac:dyDescent="0.3">
      <c r="A95">
        <v>3.3100000000000098</v>
      </c>
      <c r="B95" t="s">
        <v>161</v>
      </c>
      <c r="F95" t="s">
        <v>235</v>
      </c>
      <c r="G95">
        <v>2</v>
      </c>
      <c r="H95" t="s">
        <v>234</v>
      </c>
      <c r="J95" s="17" t="s">
        <v>233</v>
      </c>
      <c r="L95">
        <v>1100</v>
      </c>
      <c r="N95">
        <v>2200</v>
      </c>
    </row>
    <row r="96" spans="1:14" x14ac:dyDescent="0.3">
      <c r="A96">
        <v>3.3200000000000101</v>
      </c>
      <c r="B96" t="s">
        <v>161</v>
      </c>
      <c r="F96" t="s">
        <v>238</v>
      </c>
      <c r="G96">
        <v>2</v>
      </c>
      <c r="H96" t="s">
        <v>237</v>
      </c>
      <c r="I96" t="s">
        <v>192</v>
      </c>
      <c r="J96" s="17" t="s">
        <v>236</v>
      </c>
      <c r="L96">
        <v>1298</v>
      </c>
      <c r="N96">
        <v>2596</v>
      </c>
    </row>
    <row r="97" spans="1:14" x14ac:dyDescent="0.3">
      <c r="A97">
        <v>3.3300000000000098</v>
      </c>
      <c r="B97" t="s">
        <v>161</v>
      </c>
      <c r="F97" t="s">
        <v>240</v>
      </c>
      <c r="G97">
        <v>1</v>
      </c>
      <c r="H97" t="s">
        <v>234</v>
      </c>
      <c r="J97" s="17" t="s">
        <v>239</v>
      </c>
      <c r="L97">
        <v>1000</v>
      </c>
      <c r="N97">
        <v>1000</v>
      </c>
    </row>
    <row r="98" spans="1:14" x14ac:dyDescent="0.3">
      <c r="A98">
        <v>3.3400000000000101</v>
      </c>
      <c r="B98" t="s">
        <v>161</v>
      </c>
      <c r="F98" t="s">
        <v>241</v>
      </c>
      <c r="G98">
        <v>1</v>
      </c>
      <c r="H98" t="s">
        <v>243</v>
      </c>
      <c r="I98" t="s">
        <v>244</v>
      </c>
      <c r="J98" s="17" t="s">
        <v>242</v>
      </c>
      <c r="L98">
        <v>299</v>
      </c>
      <c r="N98">
        <v>299</v>
      </c>
    </row>
    <row r="99" spans="1:14" x14ac:dyDescent="0.3">
      <c r="A99">
        <v>3.3500000000000099</v>
      </c>
      <c r="B99" t="s">
        <v>161</v>
      </c>
      <c r="F99" t="s">
        <v>245</v>
      </c>
      <c r="G99">
        <v>1</v>
      </c>
      <c r="H99" t="s">
        <v>192</v>
      </c>
      <c r="I99" t="s">
        <v>192</v>
      </c>
      <c r="J99" s="17" t="s">
        <v>246</v>
      </c>
      <c r="L99">
        <v>139</v>
      </c>
      <c r="N99">
        <v>139</v>
      </c>
    </row>
    <row r="100" spans="1:14" x14ac:dyDescent="0.3">
      <c r="A100">
        <v>3.3600000000000101</v>
      </c>
      <c r="B100" t="s">
        <v>161</v>
      </c>
      <c r="F100" t="s">
        <v>307</v>
      </c>
      <c r="G100">
        <v>1</v>
      </c>
      <c r="H100" t="s">
        <v>308</v>
      </c>
      <c r="I100" t="s">
        <v>192</v>
      </c>
      <c r="J100" s="17" t="s">
        <v>309</v>
      </c>
      <c r="L100">
        <v>655</v>
      </c>
      <c r="N100">
        <v>655</v>
      </c>
    </row>
    <row r="101" spans="1:14" x14ac:dyDescent="0.3">
      <c r="A101">
        <v>3.3700000000000099</v>
      </c>
      <c r="B101" t="s">
        <v>161</v>
      </c>
      <c r="F101" t="s">
        <v>310</v>
      </c>
      <c r="G101">
        <v>2</v>
      </c>
      <c r="H101" t="s">
        <v>311</v>
      </c>
      <c r="I101" t="s">
        <v>192</v>
      </c>
      <c r="J101" s="17" t="s">
        <v>312</v>
      </c>
      <c r="L101">
        <v>29</v>
      </c>
      <c r="N101">
        <v>58</v>
      </c>
    </row>
    <row r="102" spans="1:14" x14ac:dyDescent="0.3">
      <c r="A102">
        <v>3.3800000000000101</v>
      </c>
      <c r="B102" t="s">
        <v>161</v>
      </c>
      <c r="F102" t="s">
        <v>313</v>
      </c>
      <c r="G102">
        <v>1</v>
      </c>
      <c r="H102" t="s">
        <v>319</v>
      </c>
      <c r="I102" t="s">
        <v>192</v>
      </c>
      <c r="J102" s="17" t="s">
        <v>320</v>
      </c>
      <c r="L102">
        <v>58</v>
      </c>
      <c r="N102">
        <v>58</v>
      </c>
    </row>
    <row r="103" spans="1:14" x14ac:dyDescent="0.3">
      <c r="A103">
        <v>3.3900000000000099</v>
      </c>
      <c r="B103" t="s">
        <v>161</v>
      </c>
      <c r="F103" t="s">
        <v>314</v>
      </c>
      <c r="G103">
        <v>1</v>
      </c>
      <c r="J103" s="17" t="s">
        <v>180</v>
      </c>
      <c r="L103">
        <v>200</v>
      </c>
      <c r="N103">
        <v>200</v>
      </c>
    </row>
    <row r="104" spans="1:14" x14ac:dyDescent="0.3">
      <c r="A104">
        <v>3.4000000000000101</v>
      </c>
      <c r="B104" t="s">
        <v>161</v>
      </c>
      <c r="F104" t="s">
        <v>315</v>
      </c>
      <c r="G104">
        <v>1</v>
      </c>
      <c r="J104" s="17" t="s">
        <v>180</v>
      </c>
      <c r="L104">
        <v>60</v>
      </c>
      <c r="N104">
        <v>60</v>
      </c>
    </row>
    <row r="105" spans="1:14" x14ac:dyDescent="0.3">
      <c r="A105">
        <v>3.4100000000000099</v>
      </c>
      <c r="B105" t="s">
        <v>161</v>
      </c>
      <c r="F105" t="s">
        <v>316</v>
      </c>
      <c r="G105">
        <v>1</v>
      </c>
      <c r="J105" s="17" t="s">
        <v>180</v>
      </c>
      <c r="L105">
        <v>100</v>
      </c>
      <c r="N105">
        <v>100</v>
      </c>
    </row>
    <row r="106" spans="1:14" x14ac:dyDescent="0.3">
      <c r="A106">
        <v>3.4200000000000101</v>
      </c>
      <c r="B106" t="s">
        <v>161</v>
      </c>
      <c r="F106" t="s">
        <v>317</v>
      </c>
      <c r="G106">
        <v>4</v>
      </c>
      <c r="J106" s="17" t="s">
        <v>180</v>
      </c>
      <c r="L106">
        <v>100</v>
      </c>
      <c r="N106">
        <v>400</v>
      </c>
    </row>
    <row r="107" spans="1:14" x14ac:dyDescent="0.3">
      <c r="A107">
        <v>3.4300000000000099</v>
      </c>
      <c r="B107" t="s">
        <v>161</v>
      </c>
      <c r="F107" t="s">
        <v>318</v>
      </c>
      <c r="G107">
        <v>4</v>
      </c>
      <c r="H107" t="s">
        <v>322</v>
      </c>
      <c r="I107" t="s">
        <v>264</v>
      </c>
      <c r="J107" s="17" t="s">
        <v>321</v>
      </c>
      <c r="L107">
        <v>11.9</v>
      </c>
      <c r="N107">
        <v>47.6</v>
      </c>
    </row>
    <row r="108" spans="1:14" x14ac:dyDescent="0.3">
      <c r="A108">
        <v>3.4400000000000102</v>
      </c>
      <c r="B108" t="s">
        <v>161</v>
      </c>
      <c r="C108" t="s">
        <v>163</v>
      </c>
      <c r="D108" t="s">
        <v>259</v>
      </c>
      <c r="F108" t="s">
        <v>261</v>
      </c>
      <c r="G108">
        <v>1</v>
      </c>
      <c r="H108" t="s">
        <v>288</v>
      </c>
      <c r="I108" t="s">
        <v>263</v>
      </c>
      <c r="L108">
        <v>4156.74</v>
      </c>
      <c r="N108">
        <v>4156.74</v>
      </c>
    </row>
    <row r="109" spans="1:14" x14ac:dyDescent="0.3">
      <c r="A109">
        <v>3.4500000000000099</v>
      </c>
      <c r="B109" t="s">
        <v>161</v>
      </c>
      <c r="C109" t="s">
        <v>163</v>
      </c>
      <c r="D109" t="s">
        <v>248</v>
      </c>
      <c r="F109" t="s">
        <v>262</v>
      </c>
      <c r="G109">
        <v>1</v>
      </c>
      <c r="L109">
        <v>500</v>
      </c>
    </row>
    <row r="110" spans="1:14" x14ac:dyDescent="0.3">
      <c r="A110">
        <v>3.4600000000000102</v>
      </c>
      <c r="B110" t="s">
        <v>161</v>
      </c>
      <c r="C110" t="s">
        <v>163</v>
      </c>
      <c r="D110" t="s">
        <v>251</v>
      </c>
      <c r="F110" t="s">
        <v>276</v>
      </c>
      <c r="G110">
        <v>1</v>
      </c>
      <c r="H110" t="s">
        <v>287</v>
      </c>
    </row>
    <row r="111" spans="1:14" x14ac:dyDescent="0.3">
      <c r="A111">
        <v>3.47000000000001</v>
      </c>
      <c r="B111" t="s">
        <v>161</v>
      </c>
      <c r="C111" t="s">
        <v>163</v>
      </c>
      <c r="D111" t="s">
        <v>251</v>
      </c>
      <c r="F111" t="s">
        <v>166</v>
      </c>
      <c r="G111">
        <v>1</v>
      </c>
      <c r="H111" t="s">
        <v>249</v>
      </c>
      <c r="I111" t="s">
        <v>250</v>
      </c>
      <c r="K111">
        <v>5830</v>
      </c>
      <c r="L111">
        <v>6937.7</v>
      </c>
      <c r="N111">
        <v>6937.7</v>
      </c>
    </row>
    <row r="112" spans="1:14" x14ac:dyDescent="0.3">
      <c r="A112">
        <v>4.01</v>
      </c>
      <c r="B112" t="s">
        <v>458</v>
      </c>
      <c r="C112" t="s">
        <v>21</v>
      </c>
      <c r="D112" t="s">
        <v>357</v>
      </c>
      <c r="E112" t="s">
        <v>6</v>
      </c>
      <c r="F112" t="s">
        <v>397</v>
      </c>
      <c r="G112">
        <v>20</v>
      </c>
      <c r="H112" t="s">
        <v>9</v>
      </c>
      <c r="I112" t="s">
        <v>346</v>
      </c>
      <c r="L112">
        <v>430</v>
      </c>
      <c r="N112">
        <v>8600</v>
      </c>
    </row>
    <row r="113" spans="1:14" x14ac:dyDescent="0.3">
      <c r="A113">
        <v>4.0199999999999996</v>
      </c>
      <c r="B113" t="s">
        <v>458</v>
      </c>
      <c r="C113" t="s">
        <v>21</v>
      </c>
      <c r="D113" t="s">
        <v>357</v>
      </c>
      <c r="E113" t="s">
        <v>219</v>
      </c>
      <c r="F113" t="s">
        <v>403</v>
      </c>
      <c r="G113">
        <v>2</v>
      </c>
      <c r="J113" s="17" t="s">
        <v>400</v>
      </c>
      <c r="L113">
        <v>133.28</v>
      </c>
      <c r="N113">
        <v>266.56</v>
      </c>
    </row>
    <row r="114" spans="1:14" x14ac:dyDescent="0.3">
      <c r="A114">
        <v>4.03</v>
      </c>
      <c r="B114" t="s">
        <v>458</v>
      </c>
      <c r="C114" t="s">
        <v>21</v>
      </c>
      <c r="D114" t="s">
        <v>357</v>
      </c>
      <c r="E114" t="s">
        <v>157</v>
      </c>
      <c r="F114" t="s">
        <v>402</v>
      </c>
      <c r="G114">
        <v>1</v>
      </c>
      <c r="J114" s="17" t="s">
        <v>401</v>
      </c>
      <c r="L114">
        <v>318.91000000000003</v>
      </c>
      <c r="N114">
        <v>318.91000000000003</v>
      </c>
    </row>
    <row r="115" spans="1:14" x14ac:dyDescent="0.3">
      <c r="A115">
        <v>4.04</v>
      </c>
      <c r="B115" t="s">
        <v>458</v>
      </c>
      <c r="C115" t="s">
        <v>21</v>
      </c>
      <c r="D115" t="s">
        <v>357</v>
      </c>
      <c r="E115" t="s">
        <v>18</v>
      </c>
      <c r="F115" t="s">
        <v>454</v>
      </c>
      <c r="G115">
        <v>1</v>
      </c>
      <c r="H115" t="s">
        <v>446</v>
      </c>
      <c r="I115" t="s">
        <v>33</v>
      </c>
      <c r="J115" s="17" t="s">
        <v>301</v>
      </c>
      <c r="K115">
        <v>4522.28</v>
      </c>
      <c r="L115">
        <v>5381.51</v>
      </c>
      <c r="N115">
        <v>5381.51</v>
      </c>
    </row>
    <row r="116" spans="1:14" x14ac:dyDescent="0.3">
      <c r="A116">
        <v>4.05</v>
      </c>
      <c r="B116" t="s">
        <v>458</v>
      </c>
      <c r="C116" t="s">
        <v>21</v>
      </c>
      <c r="D116" t="s">
        <v>357</v>
      </c>
      <c r="E116" t="s">
        <v>18</v>
      </c>
      <c r="F116" t="s">
        <v>167</v>
      </c>
      <c r="G116">
        <v>1</v>
      </c>
      <c r="I116" t="s">
        <v>33</v>
      </c>
      <c r="J116" s="17" t="s">
        <v>445</v>
      </c>
      <c r="L116">
        <v>892.49</v>
      </c>
      <c r="N116">
        <v>892.49</v>
      </c>
    </row>
    <row r="117" spans="1:14" x14ac:dyDescent="0.3">
      <c r="A117">
        <v>4.0599999999999996</v>
      </c>
      <c r="B117" t="s">
        <v>458</v>
      </c>
      <c r="C117" t="s">
        <v>21</v>
      </c>
      <c r="D117" t="s">
        <v>74</v>
      </c>
      <c r="E117" t="s">
        <v>15</v>
      </c>
      <c r="F117" t="s">
        <v>442</v>
      </c>
      <c r="G117">
        <v>1</v>
      </c>
      <c r="I117" t="s">
        <v>33</v>
      </c>
      <c r="J117" s="17" t="s">
        <v>441</v>
      </c>
      <c r="L117">
        <v>323.67</v>
      </c>
      <c r="N117">
        <v>323.67</v>
      </c>
    </row>
    <row r="118" spans="1:14" x14ac:dyDescent="0.3">
      <c r="A118">
        <v>4.07</v>
      </c>
      <c r="B118" t="s">
        <v>458</v>
      </c>
      <c r="D118" t="s">
        <v>74</v>
      </c>
      <c r="E118" t="s">
        <v>15</v>
      </c>
      <c r="F118" t="s">
        <v>440</v>
      </c>
      <c r="G118">
        <v>1</v>
      </c>
      <c r="H118" t="s">
        <v>443</v>
      </c>
      <c r="I118" t="s">
        <v>33</v>
      </c>
      <c r="J118" s="17" t="s">
        <v>444</v>
      </c>
      <c r="L118">
        <v>52.35</v>
      </c>
      <c r="N118">
        <v>52.35</v>
      </c>
    </row>
    <row r="119" spans="1:14" x14ac:dyDescent="0.3">
      <c r="A119">
        <v>4.08</v>
      </c>
      <c r="B119" t="s">
        <v>458</v>
      </c>
      <c r="C119" t="s">
        <v>21</v>
      </c>
      <c r="D119" t="s">
        <v>357</v>
      </c>
      <c r="E119" t="s">
        <v>345</v>
      </c>
      <c r="F119" t="s">
        <v>168</v>
      </c>
      <c r="G119">
        <v>1</v>
      </c>
      <c r="J119" s="17" t="s">
        <v>363</v>
      </c>
      <c r="K119">
        <v>849</v>
      </c>
      <c r="L119">
        <v>1010.31</v>
      </c>
      <c r="M119">
        <v>849</v>
      </c>
      <c r="N119">
        <v>1010.31</v>
      </c>
    </row>
    <row r="120" spans="1:14" x14ac:dyDescent="0.3">
      <c r="A120">
        <v>4.09</v>
      </c>
      <c r="B120" t="s">
        <v>458</v>
      </c>
      <c r="C120" t="s">
        <v>21</v>
      </c>
      <c r="D120" t="s">
        <v>357</v>
      </c>
      <c r="E120" t="s">
        <v>154</v>
      </c>
      <c r="F120" t="s">
        <v>447</v>
      </c>
      <c r="G120">
        <v>1</v>
      </c>
      <c r="I120" t="s">
        <v>346</v>
      </c>
      <c r="L120">
        <v>758.75</v>
      </c>
      <c r="N120">
        <v>758.75</v>
      </c>
    </row>
    <row r="121" spans="1:14" x14ac:dyDescent="0.3">
      <c r="A121">
        <v>4.0999999999999996</v>
      </c>
      <c r="B121" t="s">
        <v>458</v>
      </c>
      <c r="C121" t="s">
        <v>21</v>
      </c>
      <c r="D121" t="s">
        <v>169</v>
      </c>
      <c r="F121" t="s">
        <v>170</v>
      </c>
      <c r="G121">
        <v>1</v>
      </c>
      <c r="L121">
        <v>1500</v>
      </c>
      <c r="N121">
        <v>1500</v>
      </c>
    </row>
    <row r="122" spans="1:14" x14ac:dyDescent="0.3">
      <c r="A122">
        <v>4.1100000000000003</v>
      </c>
      <c r="B122" t="s">
        <v>458</v>
      </c>
      <c r="C122" t="s">
        <v>163</v>
      </c>
      <c r="D122" t="s">
        <v>98</v>
      </c>
      <c r="F122" t="s">
        <v>171</v>
      </c>
      <c r="G122">
        <v>5</v>
      </c>
      <c r="H122" t="s">
        <v>430</v>
      </c>
      <c r="I122" t="s">
        <v>432</v>
      </c>
      <c r="J122" s="17" t="s">
        <v>435</v>
      </c>
      <c r="L122">
        <v>1490</v>
      </c>
      <c r="N122">
        <v>7450</v>
      </c>
    </row>
    <row r="123" spans="1:14" x14ac:dyDescent="0.3">
      <c r="A123">
        <v>4.12</v>
      </c>
      <c r="B123" t="s">
        <v>458</v>
      </c>
      <c r="C123" t="s">
        <v>163</v>
      </c>
      <c r="G123">
        <v>5</v>
      </c>
      <c r="H123" t="s">
        <v>430</v>
      </c>
      <c r="I123" t="s">
        <v>432</v>
      </c>
      <c r="J123" s="17" t="s">
        <v>434</v>
      </c>
      <c r="L123">
        <v>129.99</v>
      </c>
      <c r="N123">
        <v>649.95000000000005</v>
      </c>
    </row>
    <row r="124" spans="1:14" x14ac:dyDescent="0.3">
      <c r="A124">
        <v>4.13</v>
      </c>
      <c r="B124" t="s">
        <v>458</v>
      </c>
      <c r="C124" t="s">
        <v>163</v>
      </c>
      <c r="F124" t="s">
        <v>431</v>
      </c>
      <c r="G124">
        <v>8</v>
      </c>
      <c r="H124" t="s">
        <v>430</v>
      </c>
      <c r="I124" t="s">
        <v>432</v>
      </c>
      <c r="J124" s="17" t="s">
        <v>433</v>
      </c>
      <c r="L124">
        <v>84.9</v>
      </c>
      <c r="N124">
        <v>679.2</v>
      </c>
    </row>
    <row r="125" spans="1:14" x14ac:dyDescent="0.3">
      <c r="A125">
        <v>4.1399999999999997</v>
      </c>
      <c r="B125" t="s">
        <v>458</v>
      </c>
      <c r="C125" t="s">
        <v>163</v>
      </c>
      <c r="D125" t="s">
        <v>98</v>
      </c>
      <c r="F125" t="s">
        <v>437</v>
      </c>
      <c r="G125">
        <v>4</v>
      </c>
      <c r="I125" t="s">
        <v>182</v>
      </c>
      <c r="J125" s="17" t="s">
        <v>436</v>
      </c>
      <c r="K125">
        <v>332.76</v>
      </c>
      <c r="L125">
        <v>395.98</v>
      </c>
      <c r="N125">
        <v>1583.92</v>
      </c>
    </row>
    <row r="126" spans="1:14" x14ac:dyDescent="0.3">
      <c r="A126">
        <v>4.1500000000000004</v>
      </c>
      <c r="B126" t="s">
        <v>458</v>
      </c>
      <c r="C126" t="s">
        <v>163</v>
      </c>
      <c r="D126" t="s">
        <v>98</v>
      </c>
      <c r="F126" t="s">
        <v>438</v>
      </c>
      <c r="G126">
        <v>4</v>
      </c>
      <c r="I126" t="s">
        <v>182</v>
      </c>
      <c r="J126" s="17" t="s">
        <v>439</v>
      </c>
      <c r="K126">
        <v>82.35</v>
      </c>
      <c r="L126">
        <v>98</v>
      </c>
      <c r="N126">
        <v>392</v>
      </c>
    </row>
    <row r="127" spans="1:14" x14ac:dyDescent="0.3">
      <c r="A127">
        <v>4.16</v>
      </c>
      <c r="B127" t="s">
        <v>458</v>
      </c>
      <c r="C127" t="s">
        <v>163</v>
      </c>
      <c r="D127" t="s">
        <v>98</v>
      </c>
      <c r="F127" t="s">
        <v>172</v>
      </c>
      <c r="G127">
        <v>10</v>
      </c>
      <c r="H127" t="s">
        <v>399</v>
      </c>
      <c r="J127" s="17" t="s">
        <v>398</v>
      </c>
      <c r="L127">
        <v>376.4</v>
      </c>
      <c r="N127">
        <v>3764</v>
      </c>
    </row>
    <row r="128" spans="1:14" x14ac:dyDescent="0.3">
      <c r="A128">
        <v>4.17</v>
      </c>
      <c r="B128" t="s">
        <v>458</v>
      </c>
      <c r="C128" t="s">
        <v>163</v>
      </c>
      <c r="D128" t="s">
        <v>98</v>
      </c>
      <c r="F128" t="s">
        <v>423</v>
      </c>
      <c r="G128">
        <v>4</v>
      </c>
      <c r="J128" s="17" t="s">
        <v>424</v>
      </c>
      <c r="L128">
        <v>203.33</v>
      </c>
      <c r="N128">
        <v>813.32</v>
      </c>
    </row>
    <row r="129" spans="1:14" x14ac:dyDescent="0.3">
      <c r="A129">
        <v>4.18</v>
      </c>
      <c r="B129" t="s">
        <v>458</v>
      </c>
      <c r="C129" t="s">
        <v>163</v>
      </c>
      <c r="D129" t="s">
        <v>457</v>
      </c>
      <c r="F129" t="s">
        <v>174</v>
      </c>
      <c r="G129">
        <v>1</v>
      </c>
      <c r="I129" t="s">
        <v>175</v>
      </c>
      <c r="L129">
        <v>3500</v>
      </c>
      <c r="N129">
        <v>3500</v>
      </c>
    </row>
    <row r="130" spans="1:14" x14ac:dyDescent="0.3">
      <c r="A130">
        <v>4.1900000000000004</v>
      </c>
      <c r="B130" t="s">
        <v>458</v>
      </c>
      <c r="C130" t="s">
        <v>163</v>
      </c>
      <c r="D130" t="s">
        <v>173</v>
      </c>
      <c r="F130" t="s">
        <v>176</v>
      </c>
      <c r="G130">
        <v>2</v>
      </c>
      <c r="H130" t="s">
        <v>428</v>
      </c>
      <c r="I130" t="s">
        <v>19</v>
      </c>
      <c r="J130" s="17" t="s">
        <v>429</v>
      </c>
      <c r="L130">
        <v>1099.99</v>
      </c>
      <c r="N130">
        <v>2199.98</v>
      </c>
    </row>
    <row r="131" spans="1:14" x14ac:dyDescent="0.3">
      <c r="A131">
        <v>4.2</v>
      </c>
      <c r="B131" t="s">
        <v>458</v>
      </c>
      <c r="C131" t="s">
        <v>163</v>
      </c>
      <c r="F131" t="s">
        <v>177</v>
      </c>
      <c r="G131">
        <v>1</v>
      </c>
      <c r="J131" s="17" t="s">
        <v>364</v>
      </c>
      <c r="L131">
        <v>4000</v>
      </c>
      <c r="N131">
        <v>4000</v>
      </c>
    </row>
    <row r="132" spans="1:14" x14ac:dyDescent="0.3">
      <c r="A132">
        <v>4.21</v>
      </c>
      <c r="B132" t="s">
        <v>458</v>
      </c>
      <c r="C132" t="s">
        <v>163</v>
      </c>
      <c r="F132" t="s">
        <v>426</v>
      </c>
      <c r="G132">
        <v>1</v>
      </c>
      <c r="H132" t="s">
        <v>425</v>
      </c>
      <c r="J132" s="17" t="s">
        <v>427</v>
      </c>
      <c r="L132">
        <v>148.22999999999999</v>
      </c>
      <c r="N132">
        <v>148.22999999999999</v>
      </c>
    </row>
    <row r="133" spans="1:14" x14ac:dyDescent="0.3">
      <c r="A133">
        <v>4.22</v>
      </c>
      <c r="B133" t="s">
        <v>458</v>
      </c>
      <c r="C133" t="s">
        <v>21</v>
      </c>
      <c r="D133" t="s">
        <v>357</v>
      </c>
      <c r="F133" t="s">
        <v>404</v>
      </c>
    </row>
    <row r="134" spans="1:14" x14ac:dyDescent="0.3">
      <c r="A134">
        <v>4.2300000000000004</v>
      </c>
      <c r="B134" t="s">
        <v>458</v>
      </c>
      <c r="F134" t="s">
        <v>407</v>
      </c>
      <c r="G134">
        <v>1</v>
      </c>
      <c r="H134" t="s">
        <v>416</v>
      </c>
      <c r="I134" t="s">
        <v>291</v>
      </c>
      <c r="J134" s="17" t="s">
        <v>406</v>
      </c>
      <c r="L134">
        <v>99.95</v>
      </c>
      <c r="N134">
        <v>99.95</v>
      </c>
    </row>
    <row r="135" spans="1:14" x14ac:dyDescent="0.3">
      <c r="A135">
        <v>4.2399999999999904</v>
      </c>
      <c r="B135" t="s">
        <v>458</v>
      </c>
      <c r="F135" t="s">
        <v>408</v>
      </c>
      <c r="G135">
        <v>1</v>
      </c>
      <c r="H135" t="s">
        <v>418</v>
      </c>
      <c r="I135" t="s">
        <v>291</v>
      </c>
      <c r="J135" s="17" t="s">
        <v>409</v>
      </c>
      <c r="L135">
        <v>149.99</v>
      </c>
      <c r="N135">
        <v>149.99</v>
      </c>
    </row>
    <row r="136" spans="1:14" x14ac:dyDescent="0.3">
      <c r="A136">
        <v>4.2499999999999902</v>
      </c>
      <c r="B136" t="s">
        <v>458</v>
      </c>
      <c r="F136" t="s">
        <v>419</v>
      </c>
      <c r="G136">
        <v>1</v>
      </c>
      <c r="H136" t="s">
        <v>417</v>
      </c>
      <c r="I136" t="s">
        <v>291</v>
      </c>
      <c r="J136" s="17" t="s">
        <v>410</v>
      </c>
      <c r="L136">
        <v>15.9</v>
      </c>
      <c r="N136">
        <v>15.9</v>
      </c>
    </row>
    <row r="137" spans="1:14" x14ac:dyDescent="0.3">
      <c r="A137">
        <v>4.25999999999999</v>
      </c>
      <c r="B137" t="s">
        <v>458</v>
      </c>
      <c r="F137" t="s">
        <v>420</v>
      </c>
      <c r="G137">
        <v>10</v>
      </c>
      <c r="I137" t="s">
        <v>291</v>
      </c>
      <c r="J137" s="17" t="s">
        <v>411</v>
      </c>
      <c r="L137">
        <v>2.0299999999999998</v>
      </c>
      <c r="N137">
        <v>20.299999999999997</v>
      </c>
    </row>
    <row r="138" spans="1:14" x14ac:dyDescent="0.3">
      <c r="A138">
        <v>4.2699999999999898</v>
      </c>
      <c r="B138" t="s">
        <v>458</v>
      </c>
      <c r="F138" t="s">
        <v>421</v>
      </c>
      <c r="G138">
        <v>10</v>
      </c>
      <c r="I138" t="s">
        <v>291</v>
      </c>
      <c r="J138" s="17" t="s">
        <v>412</v>
      </c>
      <c r="L138">
        <v>0.9</v>
      </c>
      <c r="N138">
        <v>9</v>
      </c>
    </row>
    <row r="139" spans="1:14" x14ac:dyDescent="0.3">
      <c r="A139">
        <v>4.2799999999999896</v>
      </c>
      <c r="B139" t="s">
        <v>458</v>
      </c>
      <c r="F139" t="s">
        <v>422</v>
      </c>
      <c r="G139">
        <v>3</v>
      </c>
      <c r="H139" t="s">
        <v>416</v>
      </c>
      <c r="I139" t="s">
        <v>291</v>
      </c>
      <c r="J139" s="17" t="s">
        <v>413</v>
      </c>
      <c r="L139">
        <v>10.95</v>
      </c>
      <c r="N139">
        <v>32.849999999999994</v>
      </c>
    </row>
    <row r="140" spans="1:14" x14ac:dyDescent="0.3">
      <c r="A140">
        <v>4.2899999999999903</v>
      </c>
      <c r="B140" t="s">
        <v>458</v>
      </c>
      <c r="F140" t="s">
        <v>405</v>
      </c>
      <c r="G140">
        <v>1</v>
      </c>
      <c r="H140" t="s">
        <v>415</v>
      </c>
      <c r="I140" t="s">
        <v>291</v>
      </c>
      <c r="J140" s="17" t="s">
        <v>414</v>
      </c>
      <c r="L140">
        <v>14.95</v>
      </c>
      <c r="N140">
        <v>14.95</v>
      </c>
    </row>
    <row r="141" spans="1:14" x14ac:dyDescent="0.3">
      <c r="A141">
        <v>4.2999999999999901</v>
      </c>
      <c r="B141" t="s">
        <v>458</v>
      </c>
      <c r="C141" t="s">
        <v>163</v>
      </c>
      <c r="D141" t="s">
        <v>360</v>
      </c>
      <c r="F141" t="s">
        <v>178</v>
      </c>
      <c r="G141">
        <v>1</v>
      </c>
      <c r="I141" t="s">
        <v>361</v>
      </c>
      <c r="K141">
        <v>3086.13</v>
      </c>
      <c r="L141">
        <v>3672.49</v>
      </c>
      <c r="N141">
        <v>3672.49</v>
      </c>
    </row>
    <row r="142" spans="1:14" x14ac:dyDescent="0.3">
      <c r="A142">
        <v>5.01</v>
      </c>
      <c r="B142" t="s">
        <v>179</v>
      </c>
      <c r="C142" t="s">
        <v>21</v>
      </c>
      <c r="D142" t="s">
        <v>357</v>
      </c>
      <c r="E142" t="s">
        <v>154</v>
      </c>
      <c r="F142" t="s">
        <v>452</v>
      </c>
      <c r="G142">
        <v>2</v>
      </c>
      <c r="I142" t="s">
        <v>448</v>
      </c>
      <c r="L142">
        <v>400</v>
      </c>
      <c r="N142">
        <v>800</v>
      </c>
    </row>
    <row r="143" spans="1:14" x14ac:dyDescent="0.3">
      <c r="A143">
        <v>5.0199999999999996</v>
      </c>
      <c r="B143" t="s">
        <v>179</v>
      </c>
      <c r="C143" t="s">
        <v>21</v>
      </c>
      <c r="D143" t="s">
        <v>251</v>
      </c>
      <c r="F143" t="s">
        <v>365</v>
      </c>
      <c r="G143">
        <v>20</v>
      </c>
      <c r="I143" t="s">
        <v>366</v>
      </c>
      <c r="J143" s="17" t="s">
        <v>367</v>
      </c>
      <c r="M143">
        <v>6547</v>
      </c>
      <c r="N143">
        <v>7790.93</v>
      </c>
    </row>
    <row r="144" spans="1:14" x14ac:dyDescent="0.3">
      <c r="A144">
        <v>5.03</v>
      </c>
      <c r="B144" t="s">
        <v>179</v>
      </c>
      <c r="C144" t="s">
        <v>165</v>
      </c>
      <c r="D144" t="s">
        <v>98</v>
      </c>
      <c r="F144" t="s">
        <v>181</v>
      </c>
      <c r="G144">
        <v>8</v>
      </c>
      <c r="H144" t="s">
        <v>182</v>
      </c>
      <c r="I144" t="s">
        <v>182</v>
      </c>
      <c r="J144" s="17" t="s">
        <v>183</v>
      </c>
      <c r="K144">
        <v>99.99</v>
      </c>
      <c r="L144">
        <v>188.99</v>
      </c>
      <c r="N144">
        <v>1511.92</v>
      </c>
    </row>
    <row r="145" spans="1:14" x14ac:dyDescent="0.3">
      <c r="A145">
        <v>5.04</v>
      </c>
      <c r="B145" t="s">
        <v>179</v>
      </c>
      <c r="C145" t="s">
        <v>21</v>
      </c>
      <c r="D145" t="s">
        <v>357</v>
      </c>
      <c r="E145" t="s">
        <v>351</v>
      </c>
      <c r="F145" t="s">
        <v>393</v>
      </c>
      <c r="G145">
        <v>1</v>
      </c>
      <c r="H145" t="s">
        <v>184</v>
      </c>
      <c r="I145" t="s">
        <v>185</v>
      </c>
      <c r="J145" s="17" t="s">
        <v>186</v>
      </c>
      <c r="L145">
        <v>1919.64</v>
      </c>
      <c r="N145">
        <v>1919.64</v>
      </c>
    </row>
    <row r="146" spans="1:14" x14ac:dyDescent="0.3">
      <c r="A146">
        <v>5.05</v>
      </c>
      <c r="B146" t="s">
        <v>179</v>
      </c>
      <c r="C146" t="s">
        <v>21</v>
      </c>
      <c r="D146" t="s">
        <v>74</v>
      </c>
      <c r="E146" t="s">
        <v>15</v>
      </c>
      <c r="F146" t="s">
        <v>187</v>
      </c>
      <c r="G146">
        <v>1</v>
      </c>
      <c r="H146" t="s">
        <v>188</v>
      </c>
      <c r="I146" t="s">
        <v>189</v>
      </c>
      <c r="J146" s="17" t="s">
        <v>190</v>
      </c>
      <c r="L146">
        <v>2102.25</v>
      </c>
      <c r="N146">
        <v>2102.25</v>
      </c>
    </row>
    <row r="147" spans="1:14" x14ac:dyDescent="0.3">
      <c r="A147">
        <v>5.0599999999999996</v>
      </c>
      <c r="B147" t="s">
        <v>179</v>
      </c>
      <c r="C147" t="s">
        <v>21</v>
      </c>
      <c r="D147" t="s">
        <v>357</v>
      </c>
      <c r="E147" t="s">
        <v>335</v>
      </c>
      <c r="F147" t="s">
        <v>191</v>
      </c>
      <c r="I147" t="s">
        <v>192</v>
      </c>
      <c r="N147">
        <v>4192.1000000000004</v>
      </c>
    </row>
    <row r="148" spans="1:14" x14ac:dyDescent="0.3">
      <c r="A148">
        <v>5.07</v>
      </c>
      <c r="B148" t="s">
        <v>179</v>
      </c>
      <c r="F148" t="s">
        <v>378</v>
      </c>
      <c r="G148">
        <v>2</v>
      </c>
      <c r="I148" t="s">
        <v>192</v>
      </c>
      <c r="L148">
        <v>429</v>
      </c>
    </row>
    <row r="149" spans="1:14" x14ac:dyDescent="0.3">
      <c r="A149">
        <v>5.08</v>
      </c>
      <c r="B149" t="s">
        <v>179</v>
      </c>
      <c r="F149" t="s">
        <v>379</v>
      </c>
      <c r="G149">
        <v>2</v>
      </c>
      <c r="I149" t="s">
        <v>192</v>
      </c>
      <c r="L149">
        <v>499</v>
      </c>
    </row>
    <row r="150" spans="1:14" x14ac:dyDescent="0.3">
      <c r="A150">
        <v>5.09</v>
      </c>
      <c r="B150" t="s">
        <v>179</v>
      </c>
      <c r="F150" t="s">
        <v>380</v>
      </c>
      <c r="G150">
        <v>4</v>
      </c>
      <c r="I150" t="s">
        <v>192</v>
      </c>
      <c r="L150">
        <v>45</v>
      </c>
    </row>
    <row r="151" spans="1:14" x14ac:dyDescent="0.3">
      <c r="A151">
        <v>5.0999999999999996</v>
      </c>
      <c r="B151" t="s">
        <v>179</v>
      </c>
      <c r="F151" t="s">
        <v>381</v>
      </c>
      <c r="G151">
        <v>2</v>
      </c>
      <c r="I151" t="s">
        <v>192</v>
      </c>
      <c r="L151">
        <v>289</v>
      </c>
    </row>
    <row r="152" spans="1:14" x14ac:dyDescent="0.3">
      <c r="A152">
        <v>5.1100000000000003</v>
      </c>
      <c r="B152" t="s">
        <v>179</v>
      </c>
      <c r="F152" t="s">
        <v>382</v>
      </c>
      <c r="G152">
        <v>1</v>
      </c>
      <c r="I152" t="s">
        <v>192</v>
      </c>
      <c r="L152">
        <v>359</v>
      </c>
    </row>
    <row r="153" spans="1:14" x14ac:dyDescent="0.3">
      <c r="A153">
        <v>5.12</v>
      </c>
      <c r="B153" t="s">
        <v>179</v>
      </c>
      <c r="F153" t="s">
        <v>383</v>
      </c>
      <c r="G153">
        <v>1</v>
      </c>
      <c r="I153" t="s">
        <v>192</v>
      </c>
      <c r="L153">
        <v>45</v>
      </c>
    </row>
    <row r="154" spans="1:14" x14ac:dyDescent="0.3">
      <c r="A154">
        <v>5.13</v>
      </c>
      <c r="B154" t="s">
        <v>179</v>
      </c>
      <c r="F154" t="s">
        <v>384</v>
      </c>
      <c r="G154">
        <v>1</v>
      </c>
      <c r="I154" t="s">
        <v>192</v>
      </c>
      <c r="L154">
        <v>22.9</v>
      </c>
    </row>
    <row r="155" spans="1:14" x14ac:dyDescent="0.3">
      <c r="A155">
        <v>5.14</v>
      </c>
      <c r="B155" t="s">
        <v>179</v>
      </c>
      <c r="F155" t="s">
        <v>385</v>
      </c>
      <c r="G155">
        <v>1</v>
      </c>
      <c r="I155" t="s">
        <v>192</v>
      </c>
      <c r="L155">
        <v>39</v>
      </c>
    </row>
    <row r="156" spans="1:14" x14ac:dyDescent="0.3">
      <c r="A156">
        <v>5.15</v>
      </c>
      <c r="B156" t="s">
        <v>179</v>
      </c>
      <c r="F156" t="s">
        <v>386</v>
      </c>
      <c r="G156">
        <v>8</v>
      </c>
      <c r="I156" t="s">
        <v>192</v>
      </c>
      <c r="L156">
        <v>4.9000000000000004</v>
      </c>
    </row>
    <row r="157" spans="1:14" x14ac:dyDescent="0.3">
      <c r="A157">
        <v>5.16</v>
      </c>
      <c r="B157" t="s">
        <v>179</v>
      </c>
      <c r="F157" t="s">
        <v>387</v>
      </c>
      <c r="G157">
        <v>1</v>
      </c>
      <c r="I157" t="s">
        <v>192</v>
      </c>
      <c r="L157">
        <v>659</v>
      </c>
    </row>
    <row r="158" spans="1:14" x14ac:dyDescent="0.3">
      <c r="A158">
        <v>5.17</v>
      </c>
      <c r="B158" t="s">
        <v>179</v>
      </c>
      <c r="F158" t="s">
        <v>388</v>
      </c>
      <c r="G158">
        <v>1</v>
      </c>
      <c r="I158" t="s">
        <v>192</v>
      </c>
      <c r="L158">
        <v>298</v>
      </c>
    </row>
    <row r="159" spans="1:14" x14ac:dyDescent="0.3">
      <c r="A159">
        <v>5.18</v>
      </c>
      <c r="B159" t="s">
        <v>179</v>
      </c>
      <c r="F159" t="s">
        <v>389</v>
      </c>
      <c r="G159">
        <v>1</v>
      </c>
      <c r="I159" t="s">
        <v>192</v>
      </c>
      <c r="L159">
        <v>52</v>
      </c>
    </row>
    <row r="160" spans="1:14" x14ac:dyDescent="0.3">
      <c r="A160">
        <v>5.19</v>
      </c>
      <c r="B160" t="s">
        <v>179</v>
      </c>
      <c r="F160" t="s">
        <v>390</v>
      </c>
      <c r="G160">
        <v>1</v>
      </c>
      <c r="I160" t="s">
        <v>192</v>
      </c>
      <c r="L160">
        <v>20</v>
      </c>
    </row>
    <row r="161" spans="1:14" x14ac:dyDescent="0.3">
      <c r="A161">
        <v>5.2</v>
      </c>
      <c r="B161" t="s">
        <v>179</v>
      </c>
      <c r="F161" t="s">
        <v>391</v>
      </c>
      <c r="G161">
        <v>1</v>
      </c>
      <c r="I161" t="s">
        <v>192</v>
      </c>
      <c r="L161">
        <v>20</v>
      </c>
    </row>
    <row r="162" spans="1:14" x14ac:dyDescent="0.3">
      <c r="A162">
        <v>5.21</v>
      </c>
      <c r="B162" t="s">
        <v>179</v>
      </c>
      <c r="C162" t="s">
        <v>21</v>
      </c>
      <c r="D162" t="s">
        <v>40</v>
      </c>
      <c r="E162" t="s">
        <v>41</v>
      </c>
      <c r="F162" t="s">
        <v>41</v>
      </c>
      <c r="G162">
        <v>2</v>
      </c>
      <c r="H162" t="s">
        <v>182</v>
      </c>
      <c r="I162" t="s">
        <v>182</v>
      </c>
      <c r="J162" s="17" t="s">
        <v>193</v>
      </c>
      <c r="L162">
        <v>535</v>
      </c>
      <c r="N162">
        <v>1070</v>
      </c>
    </row>
    <row r="163" spans="1:14" x14ac:dyDescent="0.3">
      <c r="A163">
        <v>5.22</v>
      </c>
      <c r="B163" t="s">
        <v>179</v>
      </c>
      <c r="C163" t="s">
        <v>21</v>
      </c>
      <c r="D163" t="s">
        <v>88</v>
      </c>
      <c r="F163" t="s">
        <v>194</v>
      </c>
      <c r="G163">
        <v>1</v>
      </c>
      <c r="H163" t="s">
        <v>195</v>
      </c>
      <c r="I163" t="s">
        <v>182</v>
      </c>
      <c r="J163" s="17" t="s">
        <v>196</v>
      </c>
      <c r="K163">
        <v>124.45</v>
      </c>
      <c r="L163">
        <v>148.1</v>
      </c>
      <c r="N163">
        <v>148.1</v>
      </c>
    </row>
    <row r="164" spans="1:14" x14ac:dyDescent="0.3">
      <c r="A164">
        <v>5.23</v>
      </c>
      <c r="B164" t="s">
        <v>179</v>
      </c>
      <c r="C164" t="s">
        <v>21</v>
      </c>
      <c r="D164" t="s">
        <v>88</v>
      </c>
      <c r="F164" t="s">
        <v>197</v>
      </c>
      <c r="G164">
        <v>3</v>
      </c>
      <c r="H164" t="s">
        <v>182</v>
      </c>
      <c r="I164" t="s">
        <v>182</v>
      </c>
      <c r="J164" s="17" t="s">
        <v>198</v>
      </c>
      <c r="K164">
        <v>54.99</v>
      </c>
      <c r="L164">
        <v>65.44</v>
      </c>
      <c r="N164">
        <v>196.32</v>
      </c>
    </row>
    <row r="165" spans="1:14" x14ac:dyDescent="0.3">
      <c r="A165">
        <v>5.2399999999999904</v>
      </c>
      <c r="B165" t="s">
        <v>179</v>
      </c>
      <c r="C165" t="s">
        <v>21</v>
      </c>
      <c r="D165" t="s">
        <v>173</v>
      </c>
      <c r="F165" t="s">
        <v>199</v>
      </c>
      <c r="G165">
        <v>6</v>
      </c>
      <c r="H165" t="s">
        <v>200</v>
      </c>
      <c r="I165" t="s">
        <v>192</v>
      </c>
      <c r="J165" s="17" t="s">
        <v>201</v>
      </c>
      <c r="L165">
        <v>194</v>
      </c>
      <c r="N165">
        <v>1164</v>
      </c>
    </row>
    <row r="166" spans="1:14" x14ac:dyDescent="0.3">
      <c r="A166">
        <v>5.2499999999999902</v>
      </c>
      <c r="B166" t="s">
        <v>179</v>
      </c>
      <c r="C166" t="s">
        <v>21</v>
      </c>
      <c r="D166" t="s">
        <v>173</v>
      </c>
      <c r="F166" t="s">
        <v>392</v>
      </c>
      <c r="I166" t="s">
        <v>192</v>
      </c>
      <c r="N166">
        <v>3615.6</v>
      </c>
    </row>
    <row r="167" spans="1:14" x14ac:dyDescent="0.3">
      <c r="A167">
        <v>5.25999999999999</v>
      </c>
      <c r="B167" t="s">
        <v>179</v>
      </c>
      <c r="F167" t="s">
        <v>368</v>
      </c>
      <c r="G167">
        <v>1</v>
      </c>
      <c r="I167" t="s">
        <v>192</v>
      </c>
      <c r="L167">
        <v>33</v>
      </c>
    </row>
    <row r="168" spans="1:14" x14ac:dyDescent="0.3">
      <c r="A168">
        <v>5.2699999999999898</v>
      </c>
      <c r="B168" t="s">
        <v>179</v>
      </c>
      <c r="F168" t="s">
        <v>369</v>
      </c>
      <c r="G168">
        <v>1</v>
      </c>
      <c r="I168" t="s">
        <v>192</v>
      </c>
      <c r="L168">
        <v>15.9</v>
      </c>
    </row>
    <row r="169" spans="1:14" x14ac:dyDescent="0.3">
      <c r="A169">
        <v>5.2799999999999896</v>
      </c>
      <c r="B169" t="s">
        <v>179</v>
      </c>
      <c r="F169" t="s">
        <v>370</v>
      </c>
      <c r="G169">
        <v>2</v>
      </c>
      <c r="I169" t="s">
        <v>192</v>
      </c>
      <c r="L169">
        <v>8.9</v>
      </c>
    </row>
    <row r="170" spans="1:14" x14ac:dyDescent="0.3">
      <c r="A170">
        <v>5.2899999999999903</v>
      </c>
      <c r="B170" t="s">
        <v>179</v>
      </c>
      <c r="F170" t="s">
        <v>371</v>
      </c>
      <c r="G170">
        <v>1</v>
      </c>
      <c r="I170" t="s">
        <v>192</v>
      </c>
      <c r="L170">
        <v>118</v>
      </c>
    </row>
    <row r="171" spans="1:14" x14ac:dyDescent="0.3">
      <c r="A171">
        <v>5.2999999999999901</v>
      </c>
      <c r="B171" t="s">
        <v>179</v>
      </c>
      <c r="F171" t="s">
        <v>372</v>
      </c>
      <c r="G171">
        <v>2</v>
      </c>
      <c r="I171" t="s">
        <v>192</v>
      </c>
      <c r="L171">
        <v>83</v>
      </c>
    </row>
    <row r="172" spans="1:14" x14ac:dyDescent="0.3">
      <c r="A172">
        <v>5.3099999999999898</v>
      </c>
      <c r="B172" t="s">
        <v>179</v>
      </c>
      <c r="F172" t="s">
        <v>373</v>
      </c>
      <c r="G172">
        <v>4</v>
      </c>
      <c r="I172" t="s">
        <v>192</v>
      </c>
      <c r="L172">
        <v>18</v>
      </c>
    </row>
    <row r="173" spans="1:14" x14ac:dyDescent="0.3">
      <c r="A173">
        <v>5.3199999999999896</v>
      </c>
      <c r="B173" t="s">
        <v>179</v>
      </c>
      <c r="F173" t="s">
        <v>374</v>
      </c>
      <c r="G173">
        <v>1</v>
      </c>
      <c r="I173" t="s">
        <v>192</v>
      </c>
      <c r="L173">
        <v>4.9000000000000004</v>
      </c>
    </row>
    <row r="174" spans="1:14" x14ac:dyDescent="0.3">
      <c r="A174">
        <v>5.3299999999999903</v>
      </c>
      <c r="B174" t="s">
        <v>179</v>
      </c>
      <c r="F174" t="s">
        <v>375</v>
      </c>
      <c r="G174">
        <v>4</v>
      </c>
      <c r="I174" t="s">
        <v>192</v>
      </c>
      <c r="L174">
        <v>779</v>
      </c>
    </row>
    <row r="175" spans="1:14" x14ac:dyDescent="0.3">
      <c r="A175">
        <v>5.3399999999999901</v>
      </c>
      <c r="B175" t="s">
        <v>179</v>
      </c>
      <c r="F175" t="s">
        <v>376</v>
      </c>
      <c r="G175">
        <v>2</v>
      </c>
      <c r="I175" t="s">
        <v>192</v>
      </c>
      <c r="L175">
        <v>21</v>
      </c>
    </row>
    <row r="176" spans="1:14" x14ac:dyDescent="0.3">
      <c r="A176">
        <v>5.3499999999999899</v>
      </c>
      <c r="B176" t="s">
        <v>179</v>
      </c>
      <c r="F176" t="s">
        <v>377</v>
      </c>
      <c r="G176">
        <v>1</v>
      </c>
      <c r="I176" t="s">
        <v>192</v>
      </c>
      <c r="L176">
        <v>30</v>
      </c>
    </row>
    <row r="177" spans="1:14" x14ac:dyDescent="0.3">
      <c r="A177">
        <v>5.3599999999999897</v>
      </c>
      <c r="B177" t="s">
        <v>179</v>
      </c>
      <c r="C177" t="s">
        <v>21</v>
      </c>
      <c r="D177" t="s">
        <v>357</v>
      </c>
      <c r="E177" t="s">
        <v>18</v>
      </c>
      <c r="F177" t="s">
        <v>394</v>
      </c>
      <c r="G177">
        <v>1</v>
      </c>
      <c r="I177" t="s">
        <v>448</v>
      </c>
      <c r="J177" s="17" t="s">
        <v>301</v>
      </c>
      <c r="K177">
        <v>4522.28</v>
      </c>
      <c r="L177">
        <v>5381.51</v>
      </c>
      <c r="N177">
        <v>5381.51</v>
      </c>
    </row>
    <row r="178" spans="1:14" x14ac:dyDescent="0.3">
      <c r="A178">
        <v>6.01</v>
      </c>
      <c r="B178" t="s">
        <v>204</v>
      </c>
      <c r="C178" t="s">
        <v>21</v>
      </c>
      <c r="D178" t="s">
        <v>357</v>
      </c>
      <c r="E178" t="s">
        <v>154</v>
      </c>
      <c r="F178" t="s">
        <v>154</v>
      </c>
      <c r="G178">
        <v>1</v>
      </c>
      <c r="L178">
        <v>800</v>
      </c>
      <c r="N178">
        <v>800</v>
      </c>
    </row>
    <row r="179" spans="1:14" x14ac:dyDescent="0.3">
      <c r="A179">
        <v>6.02</v>
      </c>
      <c r="B179" t="s">
        <v>204</v>
      </c>
      <c r="C179" t="s">
        <v>21</v>
      </c>
      <c r="D179" t="s">
        <v>357</v>
      </c>
      <c r="E179" t="s">
        <v>6</v>
      </c>
      <c r="F179" t="s">
        <v>6</v>
      </c>
      <c r="G179">
        <v>4</v>
      </c>
      <c r="L179">
        <v>300</v>
      </c>
      <c r="N179">
        <v>1200</v>
      </c>
    </row>
    <row r="180" spans="1:14" x14ac:dyDescent="0.3">
      <c r="A180">
        <v>6.03</v>
      </c>
      <c r="B180" t="s">
        <v>204</v>
      </c>
      <c r="C180" t="s">
        <v>21</v>
      </c>
      <c r="D180" t="s">
        <v>357</v>
      </c>
      <c r="E180" t="s">
        <v>355</v>
      </c>
      <c r="F180" t="s">
        <v>209</v>
      </c>
      <c r="G180">
        <v>1</v>
      </c>
      <c r="H180" t="s">
        <v>30</v>
      </c>
      <c r="I180" t="s">
        <v>19</v>
      </c>
      <c r="J180" s="17" t="s">
        <v>31</v>
      </c>
      <c r="L180">
        <v>859.99</v>
      </c>
      <c r="N180">
        <v>859.99</v>
      </c>
    </row>
    <row r="181" spans="1:14" x14ac:dyDescent="0.3">
      <c r="A181">
        <v>6.04</v>
      </c>
      <c r="B181" t="s">
        <v>204</v>
      </c>
      <c r="C181" t="s">
        <v>21</v>
      </c>
      <c r="D181" t="s">
        <v>357</v>
      </c>
      <c r="E181" t="s">
        <v>157</v>
      </c>
      <c r="F181" t="s">
        <v>205</v>
      </c>
      <c r="G181">
        <v>1</v>
      </c>
      <c r="L181">
        <v>1000</v>
      </c>
      <c r="N181">
        <v>1000</v>
      </c>
    </row>
    <row r="182" spans="1:14" x14ac:dyDescent="0.3">
      <c r="A182">
        <v>6.05</v>
      </c>
      <c r="B182" t="s">
        <v>204</v>
      </c>
      <c r="C182" t="s">
        <v>21</v>
      </c>
      <c r="D182" t="s">
        <v>357</v>
      </c>
      <c r="E182" t="s">
        <v>219</v>
      </c>
      <c r="F182" t="s">
        <v>207</v>
      </c>
      <c r="G182">
        <v>2</v>
      </c>
      <c r="L182" t="s">
        <v>217</v>
      </c>
    </row>
    <row r="183" spans="1:14" x14ac:dyDescent="0.3">
      <c r="A183">
        <v>6.06</v>
      </c>
      <c r="B183" t="s">
        <v>204</v>
      </c>
      <c r="C183" t="s">
        <v>21</v>
      </c>
      <c r="D183" t="s">
        <v>357</v>
      </c>
      <c r="F183" t="s">
        <v>206</v>
      </c>
      <c r="G183">
        <v>1</v>
      </c>
      <c r="L183" t="s">
        <v>217</v>
      </c>
    </row>
    <row r="184" spans="1:14" x14ac:dyDescent="0.3">
      <c r="A184">
        <v>6.07</v>
      </c>
      <c r="B184" t="s">
        <v>204</v>
      </c>
      <c r="C184" t="s">
        <v>21</v>
      </c>
      <c r="D184" t="s">
        <v>74</v>
      </c>
      <c r="E184" t="s">
        <v>15</v>
      </c>
      <c r="G184">
        <v>1</v>
      </c>
      <c r="L184">
        <v>1000</v>
      </c>
      <c r="N184">
        <v>1000</v>
      </c>
    </row>
    <row r="185" spans="1:14" x14ac:dyDescent="0.3">
      <c r="A185">
        <v>6.08</v>
      </c>
      <c r="B185" t="s">
        <v>204</v>
      </c>
      <c r="C185" t="s">
        <v>21</v>
      </c>
      <c r="D185" t="s">
        <v>357</v>
      </c>
      <c r="E185" t="s">
        <v>18</v>
      </c>
      <c r="F185" t="s">
        <v>356</v>
      </c>
      <c r="G185">
        <v>1</v>
      </c>
      <c r="L185" t="s">
        <v>217</v>
      </c>
    </row>
    <row r="186" spans="1:14" x14ac:dyDescent="0.3">
      <c r="A186">
        <v>6.09</v>
      </c>
      <c r="B186" t="s">
        <v>204</v>
      </c>
      <c r="C186" t="s">
        <v>21</v>
      </c>
      <c r="D186" t="s">
        <v>251</v>
      </c>
      <c r="F186" t="s">
        <v>208</v>
      </c>
      <c r="G186">
        <v>1</v>
      </c>
      <c r="L186" t="s">
        <v>217</v>
      </c>
    </row>
    <row r="187" spans="1:14" x14ac:dyDescent="0.3">
      <c r="A187">
        <v>6.1</v>
      </c>
      <c r="B187" t="s">
        <v>204</v>
      </c>
      <c r="C187" t="s">
        <v>21</v>
      </c>
      <c r="D187" t="s">
        <v>357</v>
      </c>
      <c r="F187" t="s">
        <v>210</v>
      </c>
      <c r="N187">
        <v>200</v>
      </c>
    </row>
    <row r="188" spans="1:14" x14ac:dyDescent="0.3">
      <c r="A188">
        <v>6.11</v>
      </c>
      <c r="B188" t="s">
        <v>204</v>
      </c>
      <c r="C188" t="s">
        <v>21</v>
      </c>
      <c r="D188" t="s">
        <v>98</v>
      </c>
      <c r="F188" t="s">
        <v>211</v>
      </c>
      <c r="N188">
        <v>22000</v>
      </c>
    </row>
    <row r="189" spans="1:14" x14ac:dyDescent="0.3">
      <c r="A189">
        <v>6.12</v>
      </c>
      <c r="B189" t="s">
        <v>204</v>
      </c>
      <c r="C189" t="s">
        <v>21</v>
      </c>
      <c r="D189" t="s">
        <v>74</v>
      </c>
      <c r="F189" t="s">
        <v>212</v>
      </c>
      <c r="N189">
        <v>500</v>
      </c>
    </row>
    <row r="190" spans="1:14" x14ac:dyDescent="0.3">
      <c r="A190">
        <v>6.13</v>
      </c>
      <c r="B190" t="s">
        <v>204</v>
      </c>
      <c r="C190" t="s">
        <v>21</v>
      </c>
      <c r="D190" t="s">
        <v>74</v>
      </c>
      <c r="F190" t="s">
        <v>213</v>
      </c>
      <c r="G190">
        <v>1</v>
      </c>
      <c r="N190">
        <v>0</v>
      </c>
    </row>
    <row r="191" spans="1:14" x14ac:dyDescent="0.3">
      <c r="A191">
        <v>6.14</v>
      </c>
      <c r="B191" t="s">
        <v>204</v>
      </c>
      <c r="C191" t="s">
        <v>21</v>
      </c>
      <c r="D191" t="s">
        <v>74</v>
      </c>
      <c r="F191" t="s">
        <v>214</v>
      </c>
      <c r="N191">
        <v>0</v>
      </c>
    </row>
    <row r="192" spans="1:14" x14ac:dyDescent="0.3">
      <c r="A192">
        <v>6.15</v>
      </c>
      <c r="B192" t="s">
        <v>204</v>
      </c>
      <c r="C192" t="s">
        <v>21</v>
      </c>
      <c r="D192" t="s">
        <v>40</v>
      </c>
      <c r="E192" t="s">
        <v>17</v>
      </c>
      <c r="F192" t="s">
        <v>215</v>
      </c>
      <c r="G192">
        <v>1</v>
      </c>
      <c r="N192">
        <v>0</v>
      </c>
    </row>
    <row r="193" spans="1:14" x14ac:dyDescent="0.3">
      <c r="A193">
        <v>6.16</v>
      </c>
      <c r="B193" t="s">
        <v>204</v>
      </c>
      <c r="C193" t="s">
        <v>21</v>
      </c>
      <c r="D193" t="s">
        <v>169</v>
      </c>
      <c r="F193" t="s">
        <v>216</v>
      </c>
      <c r="G193">
        <v>1</v>
      </c>
      <c r="N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Milena</dc:creator>
  <cp:lastModifiedBy>Cristhian Sánchez</cp:lastModifiedBy>
  <cp:lastPrinted>2025-10-23T14:14:48Z</cp:lastPrinted>
  <dcterms:created xsi:type="dcterms:W3CDTF">2015-06-05T18:19:34Z</dcterms:created>
  <dcterms:modified xsi:type="dcterms:W3CDTF">2025-11-04T11:51:18Z</dcterms:modified>
</cp:coreProperties>
</file>