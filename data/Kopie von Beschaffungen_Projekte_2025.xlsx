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:\HUB\Docs\"/>
    </mc:Choice>
  </mc:AlternateContent>
  <xr:revisionPtr revIDLastSave="0" documentId="8_{0FCA9F0E-76DF-46D4-BC2D-F23B8EDA0D9A}" xr6:coauthVersionLast="36" xr6:coauthVersionMax="36" xr10:uidLastSave="{00000000-0000-0000-0000-000000000000}"/>
  <bookViews>
    <workbookView xWindow="0" yWindow="0" windowWidth="5150" windowHeight="1040" activeTab="1" xr2:uid="{00000000-000D-0000-FFFF-FFFF00000000}"/>
  </bookViews>
  <sheets>
    <sheet name="Mobiler Dritter Ort" sheetId="4" r:id="rId1"/>
    <sheet name="Stationäre Dritte Orte" sheetId="5" r:id="rId2"/>
    <sheet name="Museen.digital" sheetId="1" r:id="rId3"/>
    <sheet name="Kulturschätze.digital" sheetId="2" r:id="rId4"/>
    <sheet name="DigiFit" sheetId="3" r:id="rId5"/>
    <sheet name="Digitallotsen" sheetId="7" r:id="rId6"/>
    <sheet name="Übersicht EDV" sheetId="8" r:id="rId7"/>
  </sheets>
  <definedNames>
    <definedName name="_xlnm._FilterDatabase" localSheetId="1" hidden="1">'Stationäre Dritte Orte'!$A$2:$S$200</definedName>
    <definedName name="_xlnm._FilterDatabase" localSheetId="6" hidden="1">'Übersicht EDV'!$B$1:$R$15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4" i="5" l="1"/>
  <c r="M3" i="5"/>
  <c r="N3" i="5"/>
  <c r="N4" i="5"/>
  <c r="N119" i="5" l="1"/>
  <c r="N120" i="5"/>
  <c r="N122" i="5"/>
  <c r="N130" i="5"/>
  <c r="N127" i="5"/>
  <c r="N128" i="5"/>
  <c r="N136" i="5"/>
  <c r="N131" i="5"/>
  <c r="N132" i="5"/>
  <c r="N139" i="5"/>
  <c r="N140" i="5"/>
  <c r="N141" i="5"/>
  <c r="N142" i="5"/>
  <c r="N143" i="5"/>
  <c r="N144" i="5"/>
  <c r="N138" i="5"/>
  <c r="N117" i="5" l="1"/>
  <c r="M50" i="5" l="1"/>
  <c r="A87" i="5" l="1"/>
  <c r="L114" i="5" l="1"/>
  <c r="M9" i="4" l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30" i="1"/>
  <c r="M49" i="1"/>
  <c r="M50" i="1"/>
  <c r="M51" i="1"/>
  <c r="M52" i="1"/>
  <c r="M53" i="1"/>
  <c r="M54" i="1"/>
  <c r="M55" i="1"/>
  <c r="M56" i="1"/>
  <c r="M57" i="1"/>
  <c r="M58" i="1"/>
  <c r="L35" i="1"/>
  <c r="A97" i="5" l="1"/>
  <c r="N108" i="5"/>
  <c r="N109" i="5"/>
  <c r="N107" i="5"/>
  <c r="N106" i="5"/>
  <c r="N105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68" i="5"/>
  <c r="N72" i="5"/>
  <c r="N71" i="5"/>
  <c r="N69" i="5"/>
  <c r="N70" i="5"/>
  <c r="M69" i="5"/>
  <c r="N68" i="5"/>
  <c r="M68" i="5"/>
  <c r="N76" i="5"/>
  <c r="M66" i="5"/>
  <c r="N66" i="5"/>
  <c r="N50" i="5"/>
  <c r="N49" i="5"/>
  <c r="M49" i="5"/>
  <c r="N48" i="5"/>
  <c r="M48" i="5"/>
  <c r="N84" i="5" l="1"/>
  <c r="N83" i="5"/>
  <c r="N82" i="5"/>
  <c r="N101" i="5"/>
  <c r="N102" i="5"/>
  <c r="N110" i="5"/>
  <c r="N97" i="5"/>
  <c r="N87" i="5"/>
  <c r="N114" i="5"/>
  <c r="N85" i="5"/>
  <c r="N77" i="5"/>
  <c r="N78" i="5"/>
  <c r="N79" i="5"/>
  <c r="N80" i="5"/>
  <c r="N73" i="5"/>
  <c r="N98" i="5"/>
  <c r="N100" i="5"/>
  <c r="N99" i="5"/>
  <c r="N74" i="5"/>
  <c r="N75" i="5"/>
  <c r="N103" i="5"/>
  <c r="N104" i="5"/>
  <c r="N111" i="5"/>
  <c r="N187" i="5" l="1"/>
  <c r="N185" i="5"/>
  <c r="N186" i="5"/>
  <c r="N190" i="5"/>
  <c r="N196" i="5"/>
  <c r="N198" i="5"/>
  <c r="N199" i="5"/>
  <c r="N184" i="5"/>
  <c r="N149" i="5"/>
  <c r="N150" i="5"/>
  <c r="N151" i="5"/>
  <c r="N167" i="5"/>
  <c r="N168" i="5"/>
  <c r="N169" i="5"/>
  <c r="N170" i="5"/>
  <c r="N182" i="5"/>
  <c r="N147" i="5"/>
  <c r="N145" i="5"/>
  <c r="N135" i="5"/>
  <c r="N134" i="5"/>
  <c r="N133" i="5"/>
  <c r="N129" i="5"/>
  <c r="N126" i="5"/>
  <c r="N125" i="5"/>
  <c r="N124" i="5"/>
  <c r="N121" i="5"/>
  <c r="N118" i="5"/>
  <c r="N116" i="5"/>
  <c r="N53" i="5"/>
  <c r="N55" i="5"/>
  <c r="N56" i="5"/>
  <c r="N57" i="5"/>
  <c r="N58" i="5"/>
  <c r="N59" i="5"/>
  <c r="N60" i="5"/>
  <c r="N61" i="5"/>
  <c r="N62" i="5"/>
  <c r="N63" i="5"/>
  <c r="N64" i="5"/>
  <c r="N65" i="5"/>
  <c r="M53" i="5"/>
  <c r="M55" i="5"/>
  <c r="M56" i="5"/>
  <c r="M57" i="5"/>
  <c r="M58" i="5"/>
  <c r="M59" i="5"/>
  <c r="M60" i="5"/>
  <c r="M61" i="5"/>
  <c r="M62" i="5"/>
  <c r="M63" i="5"/>
  <c r="M64" i="5"/>
  <c r="M65" i="5"/>
  <c r="N52" i="5"/>
  <c r="M52" i="5"/>
  <c r="L4" i="1" l="1"/>
  <c r="M5" i="1"/>
  <c r="L9" i="1"/>
  <c r="M10" i="1"/>
  <c r="L14" i="1"/>
  <c r="M15" i="1"/>
  <c r="L19" i="1"/>
  <c r="M20" i="1"/>
  <c r="L24" i="1"/>
  <c r="M25" i="1"/>
  <c r="L29" i="1"/>
  <c r="J36" i="7" l="1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L46" i="5" l="1"/>
  <c r="N46" i="5" s="1"/>
  <c r="L31" i="5"/>
  <c r="L29" i="5"/>
  <c r="L28" i="5"/>
  <c r="L27" i="5"/>
  <c r="M46" i="5" l="1"/>
  <c r="M47" i="5"/>
  <c r="M39" i="5" l="1"/>
  <c r="M40" i="5"/>
  <c r="M41" i="5"/>
  <c r="M42" i="5"/>
  <c r="M43" i="5"/>
  <c r="M44" i="5"/>
  <c r="M45" i="5"/>
  <c r="N36" i="5"/>
  <c r="N37" i="5"/>
  <c r="N38" i="5"/>
  <c r="N39" i="5"/>
  <c r="N40" i="5"/>
  <c r="N41" i="5"/>
  <c r="N42" i="5"/>
  <c r="N43" i="5"/>
  <c r="N44" i="5"/>
  <c r="N45" i="5"/>
  <c r="N47" i="5"/>
  <c r="M36" i="5"/>
  <c r="M37" i="5"/>
  <c r="M38" i="5"/>
  <c r="N5" i="5" l="1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M6" i="5"/>
  <c r="M8" i="5"/>
  <c r="M17" i="5"/>
  <c r="M19" i="5"/>
  <c r="M22" i="5"/>
  <c r="M23" i="5"/>
  <c r="M24" i="5"/>
  <c r="M25" i="5"/>
  <c r="M26" i="5"/>
  <c r="M27" i="5"/>
  <c r="M28" i="5"/>
  <c r="M29" i="5"/>
  <c r="M30" i="5"/>
  <c r="M31" i="5"/>
  <c r="N6" i="4"/>
  <c r="M6" i="4"/>
  <c r="N22" i="4"/>
  <c r="N21" i="4"/>
  <c r="M22" i="4"/>
  <c r="N26" i="4"/>
  <c r="M26" i="4"/>
  <c r="N51" i="5" l="1"/>
  <c r="M17" i="4"/>
  <c r="N17" i="4"/>
  <c r="N7" i="4"/>
  <c r="N8" i="4"/>
  <c r="N10" i="4"/>
  <c r="N15" i="4" s="1"/>
  <c r="N19" i="4"/>
  <c r="N24" i="4"/>
  <c r="N25" i="4"/>
  <c r="N28" i="4"/>
  <c r="N31" i="4"/>
  <c r="N32" i="4"/>
  <c r="N33" i="4"/>
  <c r="N35" i="4"/>
  <c r="N37" i="4"/>
  <c r="N39" i="4"/>
  <c r="N5" i="4"/>
  <c r="M7" i="4"/>
  <c r="M8" i="4"/>
  <c r="M10" i="4"/>
  <c r="M19" i="4"/>
  <c r="M21" i="4"/>
  <c r="M24" i="4"/>
  <c r="M25" i="4"/>
  <c r="M28" i="4"/>
  <c r="M31" i="4"/>
  <c r="M32" i="4"/>
  <c r="M33" i="4"/>
  <c r="M35" i="4"/>
  <c r="M37" i="4"/>
  <c r="M39" i="4"/>
  <c r="M51" i="5" l="1"/>
  <c r="N67" i="5"/>
  <c r="M67" i="5" s="1"/>
  <c r="N40" i="4"/>
  <c r="N29" i="4"/>
  <c r="G2" i="4" s="1"/>
  <c r="M8" i="1"/>
  <c r="M13" i="1"/>
  <c r="M18" i="1"/>
  <c r="M23" i="1"/>
  <c r="M28" i="1"/>
  <c r="L8" i="1"/>
  <c r="L13" i="1"/>
  <c r="L18" i="1"/>
  <c r="L23" i="1"/>
  <c r="L28" i="1"/>
  <c r="L31" i="1"/>
  <c r="L32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M3" i="1"/>
  <c r="L3" i="1"/>
  <c r="N115" i="5" l="1"/>
  <c r="M5" i="4"/>
  <c r="L36" i="3"/>
  <c r="K36" i="3"/>
  <c r="L35" i="3"/>
  <c r="K35" i="3"/>
  <c r="L34" i="3"/>
  <c r="K34" i="3"/>
  <c r="L33" i="3"/>
  <c r="K33" i="3"/>
  <c r="L32" i="3"/>
  <c r="K32" i="3"/>
  <c r="L31" i="3"/>
  <c r="K31" i="3"/>
  <c r="L30" i="3"/>
  <c r="K30" i="3"/>
  <c r="L29" i="3"/>
  <c r="K29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L5" i="3"/>
  <c r="K5" i="3"/>
  <c r="L4" i="3"/>
  <c r="K4" i="3"/>
  <c r="L3" i="3"/>
  <c r="K3" i="3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M115" i="5" l="1"/>
  <c r="N146" i="5"/>
  <c r="M146" i="5" l="1"/>
  <c r="N183" i="5"/>
  <c r="M183" i="5" l="1"/>
  <c r="N200" i="5"/>
  <c r="M200" i="5" l="1"/>
  <c r="N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Wilhelm Jana Marie</author>
    <author>Stammwitz Michelle</author>
  </authors>
  <commentList>
    <comment ref="O51" authorId="0" shapeId="0" xr:uid="{EC7AD5D0-21DE-480C-816F-690C48778293}">
      <text>
        <r>
          <rPr>
            <b/>
            <sz val="9"/>
            <color indexed="81"/>
            <rFont val="Segoe UI"/>
            <family val="2"/>
          </rPr>
          <t>Wilhelm Jana Marie:</t>
        </r>
        <r>
          <rPr>
            <sz val="9"/>
            <color indexed="81"/>
            <rFont val="Segoe UI"/>
            <family val="2"/>
          </rPr>
          <t xml:space="preserve">
Alle Preise excl. Versandkosten
Ausnahme: Otto Office*: In Bruttobetrag sind sog. "Verpackungsspesen" enthalten. Diese sind Teil des Rechnungsbetrags und auch MwSt/Ust - pflichtig
Pos 1.40: geändert von Konferenzstuhl 20x --&gt; in Konferenzstuhl 2er Set 10x 
Preise in diesem Dokument entsprechen den genauen (nicht gerundeten) Preisen laut Website (Stand: 14.10.25)
Abweichung zwischen hier berechnetem Gesamtbruttobetrag und St. Julians Summe begründet sich durch St. Julians Angabe Nettopreise bei Otto Office Produkten und Ab-und Aufrundungen
Nicht berücksichtigt sind Rabattangebote, wie -10% auf Erstbestellungen bei Otto Office
Staffelpreis berücksichtigt, wenn angegeben (z.B. bei Böttcher AG oder Otto Office), Stückpreis = dem der Anzahl entsprechendem Staffelangebot
</t>
        </r>
      </text>
    </comment>
    <comment ref="O131" authorId="1" shapeId="0" xr:uid="{594B1C83-77A6-4CAC-9656-07323B544E63}">
      <text>
        <r>
          <rPr>
            <b/>
            <sz val="9"/>
            <color indexed="81"/>
            <rFont val="Segoe UI"/>
            <family val="2"/>
          </rPr>
          <t>Stammwitz Michelle:</t>
        </r>
        <r>
          <rPr>
            <sz val="9"/>
            <color indexed="81"/>
            <rFont val="Segoe UI"/>
            <family val="2"/>
          </rPr>
          <t xml:space="preserve">
Hinweis: Artikel hat noch 0 Bewertungen auf relativ unbekanntem(?) Shop (Bavord). 
--&gt; Artikel mit besserer Qualität (Erstvorschlag) wäre auch in höherer Stückzahl als möglich (14 Stück 5.000€ netto; Stückpreis: brutto 421€, netto 354€)
1. Vorschlag von Frau Schillo: https://www.biertischgarnituren-shop.de/produkt/premium-bierzeltgarnitur-set-70-mit-lehne/ (Ähnlicher Preis, gleiches Aussehen).
Brauereiqualität/stabiler,  
2. Über ruku sind die (gleichen?) Garnituren auch bedruckbar (war angedacht für Ausstattung mobiler Dritter Ort?)
https://www.ruku1952.de/de/bierzeltgarnituren-mit-lehne/220x75-kiefer, innerhalb Budget 
(Referenzen für das Modell)
https://www.ruku1952.de/de/referenzen?srsltid=AfmBOorSxyrhOWUHsHTerCm2pcCgFn8G09rEmQp07TJDR8Y97rLqDLgt
</t>
        </r>
      </text>
    </comment>
  </commentList>
</comments>
</file>

<file path=xl/sharedStrings.xml><?xml version="1.0" encoding="utf-8"?>
<sst xmlns="http://schemas.openxmlformats.org/spreadsheetml/2006/main" count="1623" uniqueCount="711">
  <si>
    <t>Beschreibung</t>
  </si>
  <si>
    <t>Hersteller</t>
  </si>
  <si>
    <t>Anzahl</t>
  </si>
  <si>
    <t>Einzelpreis / netto</t>
  </si>
  <si>
    <t>Einzelpreis / brutto</t>
  </si>
  <si>
    <t>Gesamtpreis / netto</t>
  </si>
  <si>
    <t>Gesamtpreis / brutto</t>
  </si>
  <si>
    <t>Bezugsquelle / Lieferant</t>
  </si>
  <si>
    <t>ggfs. Link zum Shop</t>
  </si>
  <si>
    <t>Tablet</t>
  </si>
  <si>
    <t>Gemeinde</t>
  </si>
  <si>
    <t>Einsatzort</t>
  </si>
  <si>
    <t>Brücken</t>
  </si>
  <si>
    <t>Diamantschleifermuseum</t>
  </si>
  <si>
    <t>Apple</t>
  </si>
  <si>
    <t>Steinbach</t>
  </si>
  <si>
    <t>Waldmohr</t>
  </si>
  <si>
    <t>Schönenberg-Kübelberg</t>
  </si>
  <si>
    <t>Jüdisches Museum</t>
  </si>
  <si>
    <t>Fischerei und Gefängniszelle</t>
  </si>
  <si>
    <t>Bierkeller</t>
  </si>
  <si>
    <t>Breitenbach</t>
  </si>
  <si>
    <t>Bergmannsbauernmuseum</t>
  </si>
  <si>
    <t>Kirschenlandmuseum</t>
  </si>
  <si>
    <t>Altenkirchen</t>
  </si>
  <si>
    <t>Details</t>
  </si>
  <si>
    <t>https://www.mediamarkt.de/de/product/_apple-ipad-wi-fi-11th-generation-tablet-256-gb-11-zoll-silber-2984219.html</t>
  </si>
  <si>
    <t>z.B. Media Markt</t>
  </si>
  <si>
    <t>Bestellt</t>
  </si>
  <si>
    <t xml:space="preserve">Geliefert </t>
  </si>
  <si>
    <t>Bezahlt</t>
  </si>
  <si>
    <t>Übergeben</t>
  </si>
  <si>
    <t>Lieferant</t>
  </si>
  <si>
    <t>Leinwand</t>
  </si>
  <si>
    <t>Pos</t>
  </si>
  <si>
    <t>https://www.mediamarkt.de/de/product/_apple-ipad-wi-fi-11th-generation-tablet-128-gb-11-zoll-silber-2984282.html</t>
  </si>
  <si>
    <t>Schild groß</t>
  </si>
  <si>
    <t>Schild klein</t>
  </si>
  <si>
    <r>
      <t xml:space="preserve">iPad 11 (A16), </t>
    </r>
    <r>
      <rPr>
        <sz val="11"/>
        <color rgb="FFFF0000"/>
        <rFont val="Calibri"/>
        <family val="2"/>
        <scheme val="minor"/>
      </rPr>
      <t>128 GB</t>
    </r>
  </si>
  <si>
    <t>LK Kusel</t>
  </si>
  <si>
    <t>Infomobil</t>
  </si>
  <si>
    <t>Smart Board</t>
  </si>
  <si>
    <t>Kaffeemaschine</t>
  </si>
  <si>
    <t>Beamer</t>
  </si>
  <si>
    <t>Anhänger</t>
  </si>
  <si>
    <t>Kühltheke</t>
  </si>
  <si>
    <t>Spukschutz</t>
  </si>
  <si>
    <t>Bierzeltgarnitur</t>
  </si>
  <si>
    <t>Marktschirm</t>
  </si>
  <si>
    <t>Globus Baumarkt</t>
  </si>
  <si>
    <t>RuKu1952</t>
  </si>
  <si>
    <t>Stehtisch 
Unkaputtbar</t>
  </si>
  <si>
    <t>Pulsivia / Rondon</t>
  </si>
  <si>
    <t>https://www.lusini.com/de-de/pdp/110284/</t>
  </si>
  <si>
    <t>PULSIVA
Menügabel Aachen</t>
  </si>
  <si>
    <t xml:space="preserve">https://www.lusini.com/de-de/pdp/124346/ </t>
  </si>
  <si>
    <t>PULSIVA
Menümesser Aachen</t>
  </si>
  <si>
    <t>https://www.lusini.com/de-de/pdp/124351/</t>
  </si>
  <si>
    <r>
      <t xml:space="preserve">Menugabeln / 60 Stück pro Pack
</t>
    </r>
    <r>
      <rPr>
        <sz val="11"/>
        <color rgb="FFFF0000"/>
        <rFont val="Calibri"/>
        <family val="2"/>
        <scheme val="minor"/>
      </rPr>
      <t>60*5= 300</t>
    </r>
  </si>
  <si>
    <t>https://www.ruku1952.de/de/bierzeltgarnituren/stehtische/unkaputtbar?_gl=1*1v0jai5*_up*MQ..*_ga*MTc0MzQwMzE3LjE3NjAwNzk2NTg.*_ga_PGEY07ND86*czE3NjAwNzk2NTckbzEkZzEkdDE3NjAwNzk2NTkkajU4JGwwJGgyMTAwNzg0NTEz</t>
  </si>
  <si>
    <r>
      <t xml:space="preserve">Messer / 60 Stück pro Pack
</t>
    </r>
    <r>
      <rPr>
        <sz val="11"/>
        <color rgb="FFFF0000"/>
        <rFont val="Calibri"/>
        <family val="2"/>
        <scheme val="minor"/>
      </rPr>
      <t>60*5= 300</t>
    </r>
  </si>
  <si>
    <r>
      <t xml:space="preserve">Menülöffel / 60 Stück pro Pack
</t>
    </r>
    <r>
      <rPr>
        <sz val="11"/>
        <color rgb="FFFF0000"/>
        <rFont val="Calibri"/>
        <family val="2"/>
        <scheme val="minor"/>
      </rPr>
      <t>60*5= 300</t>
    </r>
  </si>
  <si>
    <t>PULSIVA
Menülöffel Aachen</t>
  </si>
  <si>
    <t>https://www.lusini.com/de-de/pdp/124348/</t>
  </si>
  <si>
    <t>PULSIVA
Kaffeelöffel Aachen</t>
  </si>
  <si>
    <r>
      <t xml:space="preserve">Kaffeelöffel / 60 Stück pro Pack
</t>
    </r>
    <r>
      <rPr>
        <sz val="11"/>
        <color rgb="FFFF0000"/>
        <rFont val="Calibri"/>
        <family val="2"/>
        <scheme val="minor"/>
      </rPr>
      <t>60*5= 300</t>
    </r>
  </si>
  <si>
    <t>https://www.lusini.com/de-de/pdp/124349/</t>
  </si>
  <si>
    <t>PULSIVA
Kuchengabel Aachen</t>
  </si>
  <si>
    <t>https://www.lusini.com/de-de/pdp/124347/</t>
  </si>
  <si>
    <r>
      <t xml:space="preserve">Kuchengabeln / 60 Stück pro Pack
</t>
    </r>
    <r>
      <rPr>
        <sz val="11"/>
        <color rgb="FFFF0000"/>
        <rFont val="Calibri"/>
        <family val="2"/>
        <scheme val="minor"/>
      </rPr>
      <t>60*5= 300</t>
    </r>
  </si>
  <si>
    <t>GESAMTSUMME</t>
  </si>
  <si>
    <t>https://www.gastrodiscount.info/Ausgabetheke-mit-
Edelstahloberflaeche-glatt-15m-07m-Edelstahlunterfuetterung-Weiss</t>
  </si>
  <si>
    <t>GDW Klappbare Ausgabetheke 
mit Edelstahlgestell und 
gebürsteter Arbeitsfläche</t>
  </si>
  <si>
    <t xml:space="preserve">Mobile Ausgabetheke
1,5m * 0,7m
geht auch noch länger! </t>
  </si>
  <si>
    <t>Gastro Kühlvitrine - 255 l - 125 cm - mit Ständer</t>
  </si>
  <si>
    <t>https://biggastro.com/Gastro-Kuehlvitrine-255-l-125-cm-mit-Staender?gad_source=1&amp;gad_campaignid=19185735074&amp;gbraid=0AAAAAo1qPo48G7WAK7IfPCH9UEBCtCZ67&amp;gclid=EAIaIQobChMIroamp5SZkAMVa6iDBx2OejubEAQYAyABEgIxg_D_BwE</t>
  </si>
  <si>
    <t>https://www.lusini.com/de-de/pdp/157336/</t>
  </si>
  <si>
    <t>Husten- und Hygieneschutzwand Anapa ohne Öffnung
75x18x48 cm (BxTxH)</t>
  </si>
  <si>
    <t>https://www.vispronet.de/sonnenschirme-sichtschutz/grossschirme-basic-mit-seilzug-3-4-m/werbeschirme-sonnenschirme/?200=2859&amp;183=1&amp;182=193&amp;525=1&amp;649=0&amp;653=0&amp;657=0&amp;661=0&amp;744=0&amp;754=0&amp;764=0&amp;774=0&amp;784=0&amp;794=0&amp;804=0&amp;814=0&amp;824=0&amp;834=0&amp;f=2647&amp;ef=669&amp;utm_term=&amp;device=c&amp;matchtype=&amp;gclid=EAIaIQobChMIl_iawZWZkAMVrJWDBx0SExvoEAQYAiABEgLgV_D_BwE&amp;utm_source=google&amp;utm_medium=cpc&amp;utm_campaign=Shopping_DE&amp;gad_source=1&amp;gad_campaignid=21854090040&amp;gbraid=0AAAAADjEoE2zSR1-OLvIGiZsyBrwaNquq</t>
  </si>
  <si>
    <t>Großschirm Basic mit Seilzug, quadratisch
4x4m (kann bedruckt werden)</t>
  </si>
  <si>
    <t>Hersteller / Info zum Produkt</t>
  </si>
  <si>
    <t>celexon Economy Rollo-Leinwand 100" | 
180x180 cm 1:1 | manuell ausziehbare 4K, 
Full-HD Beamerleinwand für Projektionen im Heimkino &amp; Büro 
| Wand- &amp; Deckenmontage/zum Aufhängen</t>
  </si>
  <si>
    <t>Amazon</t>
  </si>
  <si>
    <t>https://www.amazon.de/dp/B000B7BRDQ/?smid=A2A82HBBRURJ5I&amp;tag=idealode-mp-pk-21&amp;linkCode=asn&amp;creative=6742&amp;camp=1638&amp;creativeASIN=B000B7BRDQ&amp;ascsubtag=2025-10-10_261dfa115ccc37110f638cad888c27277ee9748e1d0bd85384c1cc0c3e5fa9e8&amp;th=1&amp;psc=1</t>
  </si>
  <si>
    <t>Visunext</t>
  </si>
  <si>
    <t>https://www.visunext.de/p/viewsonic-ifp5550-5-touch-display-
1000027556/?_gl=1*wn675w*_up*MQ..*_gs*MQ..&amp;gclid=EAIaIQobChMI4IeZ_ZuZkAMV4JCDBx13shDrEAMYASAAEgLYV_D_BwE&amp;gbraid=0AAAAAD_aOv1Z30PK9sw0FVE6n9CwzFqcj</t>
  </si>
  <si>
    <t>https://www.visunext.de/p/celexon-1000008115-leinwand-1000008115/
?_gl=1*1bafpsc*_up*MQ..*_gs*MQ..&amp;gclid=EAIaIQobChMI4c2Z16GZkAMVNdJEBx1Fcjs_EAAYASAAEgKQyfD_BwE&amp;gbraid=0AAAAAD_aOv12W56ANdbj5XCp78Gmy8HqL</t>
  </si>
  <si>
    <r>
      <t xml:space="preserve">celexon HomeCinema </t>
    </r>
    <r>
      <rPr>
        <sz val="11"/>
        <color rgb="FFFF0000"/>
        <rFont val="Calibri"/>
        <family val="2"/>
        <scheme val="minor"/>
      </rPr>
      <t>Hochkontrastleinwand</t>
    </r>
    <r>
      <rPr>
        <sz val="11"/>
        <color theme="1"/>
        <rFont val="Calibri"/>
        <family val="2"/>
        <scheme val="minor"/>
      </rPr>
      <t xml:space="preserve"> Tension 177 x 99 cm, 80" - Dynamic Slate ALR</t>
    </r>
  </si>
  <si>
    <t>ALTERNATIV
Da im Einsatz bei Tageslicht-Leinwand wahrscheinlich besser</t>
  </si>
  <si>
    <t>ACER Vero PL3512ATV Laser Beamer 
(Full-HD, 5,000 ANSI-Lumen)</t>
  </si>
  <si>
    <t>https://www.mediamarkt.de/de/product/
_acer-vero-pl3512atv-laser-beamerfull-hd-5000-ansi-lumen-2930477.html</t>
  </si>
  <si>
    <t>GESAMTSUMME MOBILER DRITTER ORT (Brutto)</t>
  </si>
  <si>
    <t>St. Julian</t>
  </si>
  <si>
    <t>innen</t>
  </si>
  <si>
    <t>Kategorie</t>
  </si>
  <si>
    <t>Produkt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</si>
  <si>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</si>
  <si>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</si>
  <si>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</si>
  <si>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</si>
  <si>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</si>
  <si>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</si>
  <si>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</si>
  <si>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</si>
  <si>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</si>
  <si>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</si>
  <si>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</si>
  <si>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</si>
  <si>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</si>
  <si>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</si>
  <si>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</si>
  <si>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</si>
  <si>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</si>
  <si>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</si>
  <si>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</si>
  <si>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</si>
  <si>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1.22</t>
  </si>
  <si>
    <t>1.23</t>
  </si>
  <si>
    <t>Technik</t>
  </si>
  <si>
    <t>Digitales Flipchart</t>
  </si>
  <si>
    <t>office-partner.de</t>
  </si>
  <si>
    <t>https://www.office-partner.de/samsung-flip-pro-wm65b-neomounts-ns-m1250white-x1000032116?utm_campaign=retailerweb&amp;utm_source=152384&amp;utm_medium=banner&amp;0=&amp;ra_id=5042516353&amp;1</t>
  </si>
  <si>
    <t>Epson</t>
  </si>
  <si>
    <t xml:space="preserve">https://www.mediamarkt.de/de/product/_epson-eh-ls650b-beameruhd-4k-1800-lumen-129205792.html </t>
  </si>
  <si>
    <t>Media Markt</t>
  </si>
  <si>
    <t>Smart TV mit Ständer</t>
  </si>
  <si>
    <t>KTC</t>
  </si>
  <si>
    <t xml:space="preserve">https://www.amazon.de/KTC-EDLA-Zertifiziert-Lautsprecher-A32Q7-Pro/dp/B0DWNC1573/ref=sr_1_3?__mk_de_DE=%C3%85M%C3%85%C5%BD%C3%95%C3%91&amp;crid=1ISKTSY7EP3M0&amp;dib=eyJ2IjoiMSJ9.cxjCIAHtwti7PYoM354XX13DqAM81CMzSzOq6Ux0uezGjHj071QN20LucGBJIEps.dDQHOBtabn088tp3BsHAYS-xbRg_yBNKtLv7oXkxDg0&amp;dib_tag=se&amp;keywords=KTC%2BA32Q7%2BPro&amp;qid=1759932244&amp;sprefix=ktc%2Ba32q7%2Bpro%2Caps%2C149&amp;sr=8-3&amp;th=1 </t>
  </si>
  <si>
    <t>Multifunktionsdrucker</t>
  </si>
  <si>
    <t>Böttcher AG</t>
  </si>
  <si>
    <t>Oki</t>
  </si>
  <si>
    <t xml:space="preserve">https://www.bueromarkt-ag.de/multifunktionsgeraet_oki_mc853dnct,p-mc853dnct.html </t>
  </si>
  <si>
    <t>3D Drucker</t>
  </si>
  <si>
    <t>Bambu Lab</t>
  </si>
  <si>
    <t>Bambu Lab Online Shop</t>
  </si>
  <si>
    <t>https://eu.store.bambulab.com/de/products/h2d?from=navigation&amp;id=596571526990503937</t>
  </si>
  <si>
    <t>Elektrogeräte</t>
  </si>
  <si>
    <t>Kühlschrank</t>
  </si>
  <si>
    <t>GMG Gastro Online Shop</t>
  </si>
  <si>
    <t>https://www.ggmgastro.com/de-de-eur/lagerkuehlschrank-eco-200-liter-mit-1-tuer-innenseite-der-tuer-aus-kunststoff-schwarz-ksbl200?utm_source=google&amp;utm_medium=cpc&amp;utm_campaign=alle-produkte&amp;utm_content=klarna&amp;utm_term=KSBL200&amp;gad_source=1&amp;gad_campaignid=22113631619&amp;gbraid=0AAAAA9Sy9AnQBjrsF4B8RiQBEN2myHD1U&amp;gclid=CjwKCAjwup3HBhAAEiwA7euZulUNzfZl3DWlku1pKLxDgZVk9f5865yqnLRu_ejbIpwNJvUZIEIrkxoCYPoQAvD_BwE</t>
  </si>
  <si>
    <t>LTE Router</t>
  </si>
  <si>
    <t>Gastro</t>
  </si>
  <si>
    <t>Philips</t>
  </si>
  <si>
    <t>https://fritz.com/en/products/fritz-box-6860-5g-20003048</t>
  </si>
  <si>
    <t>Fritz!</t>
  </si>
  <si>
    <t>FRITZ!Box</t>
  </si>
  <si>
    <t>Samsung</t>
  </si>
  <si>
    <t>https://www.apple.com/de/shop/buy-ipad/ipad-pro/13%22-display-512gb-space-schwarz-wifi-standardglas</t>
  </si>
  <si>
    <t>Apple Pencil Pro</t>
  </si>
  <si>
    <t>https://www.apple.com/de/shop/product/MX2D3ZM/A/apple-pencil-pro?fnode=2f418c8d1aed5350c7c7bcec29dcc1a9995e6dfd72e1e010114488550e43e4a84769ca95cf066c48b055cd4c40a26e73cf257855156177ba7a0cd28229a03fc06822327b8a728a27cf8d07e442a3e3bf370a210ac007519b60a83e740fad95a2</t>
  </si>
  <si>
    <t>https://www.apple.com/de/shop/product/MWR53D/A/magic-keyboard-f%C3%BCr-13-ipad-pro-m4-deutsch-schwarz</t>
  </si>
  <si>
    <t>Apple Magic Keyboard schwarz</t>
  </si>
  <si>
    <t>https://www.apple.com/de/shop/buy-mac/macbook-air/15-zoll-silber-m4-chip-mit-10-core-cpu-10-core-gpu-16-gb-arbeitsspeicher-256gb#</t>
  </si>
  <si>
    <t>https://www.apple.com/de/shop/product/MXK53Z/A/magic-mouse-usb%E2%80%91c-weiße-multi-touch-oberfläche?fnode=d2c80cfc3ca4c981ae96f4088cc087cb61c51dd962dc386db44b315d13a98efb8a5d1c6699d2bdd5459f8f8a274d4fdafcbe02a504fb4f87a0c4dc7196fdf40239038fe7659114c78adc869ddbb349a1de37cec56c4a4c22cc123f984aa3a4f1</t>
  </si>
  <si>
    <t>Apple Magic Mouse</t>
  </si>
  <si>
    <t>https://www.apple.com/de/shop/buy-mac/imac/silber-24-zoll-standardglas-apple-m4-chip-mit-10-core-cpu-und-10-core-gpu-16-gb-arbeitsspeicher-256gb</t>
  </si>
  <si>
    <t xml:space="preserve">iMac M4 (512 GB, mit Ziffernblock) </t>
  </si>
  <si>
    <t>Celexon</t>
  </si>
  <si>
    <t>Conrad</t>
  </si>
  <si>
    <t>https://www.conrad.de/de/p/celexon-leinwand-rollo-economy-240-x-180-cm-118-562483.html?insert_kz=VQ&amp;hk=SEM&amp;WT.mc_id=google_pla&amp;qwer=CjwKCAjwup3HBhAAEiwA7euZuvdWLj0SNmQOtnmiT5D46BhlPWYZvuvbTSMlXP79P2aAMRCy_Wa3YxoCpx0QAvD_BwE&amp;utm_source=google&amp;utm_medium=cpc&amp;utm_campaign=DE%20-%20PMAX%20-%20Nonbrand%20-%20Learning&amp;utm_id=20402606569&amp;gad_source=1&amp;gad_campaignid=20392975386&amp;gbraid=0AAAAAD1-3H7azEKnXypDU74RaXHME7fia&amp;gclid=CjwKCAjwup3HBhAAEiwA7euZuvdWLj0SNmQOtnmiT5D46BhlPWYZvuvbTSMlXP79P2aAMRCy_Wa3YxoCpx0QAvD_BwE</t>
  </si>
  <si>
    <t>Klimagerät</t>
  </si>
  <si>
    <t>Dyson</t>
  </si>
  <si>
    <t xml:space="preserve">https://www.dyson.de/raumklima/luftreiniger-heizluefter/purifier-hot-cool-hp1/weiss </t>
  </si>
  <si>
    <t>Videokonferenzsystem/Konferenzkamera</t>
  </si>
  <si>
    <t>Logitech</t>
  </si>
  <si>
    <t>https://www.bueromarkt-ag.de/konferenzkamera_logitech_bcc950_conferencecam,p-960-000867,l-google-css,pd-b2c.html?utm_source=google&amp;utm_medium=cpc&amp;utm_campaign=20144954577&amp;gad_source=1</t>
  </si>
  <si>
    <t>JBL</t>
  </si>
  <si>
    <t>https://www.mediamarkt.de/de/product/_jbl-partybox-710-2734750.html?storeId=420&amp;utm_source=google&amp;utm_medium=cpc&amp;utm_campaign=RT_shopping_na_nsp_na_PLA+-+bluePortal+4+PMax&amp;gclsrc=aw.ds&amp;gad_source=1&amp;gad_campaignid=19783697924&amp;gbraid=0AAAAADh5KahXps5qCZzUhBE5r6wKxf1IA&amp;gclid=CjwKCAjwup3HBhAAEiwA7euZujRugukbUeyEGrjPlze1ygI0GIoSMW51JBGSUrndoMllqCFIy5a1oxoCfU0QAvD_BwE</t>
  </si>
  <si>
    <t>https://www.mediamarkt.de/de/product/_jbl-partybox-wireless-mikrofon-schwarz-2917734.html</t>
  </si>
  <si>
    <t>Mikrofon</t>
  </si>
  <si>
    <t>Analoge Technikergänzung</t>
  </si>
  <si>
    <t>Schaefer Shop</t>
  </si>
  <si>
    <t>Maul</t>
  </si>
  <si>
    <t>https://www.schaefer-shop.de/p/sparset-maul-flipchart-solid-fahrbar-hoehenverstellbar-gratis-1-block-und-4-stifte?selectedItem=166474&amp;b2borb2c=1&amp;gshop=1&amp;alw=1319-1332-2488-3418_166474&amp;kb=ga_pm_20282185109_&amp;cc=A065954&amp;gkw=&amp;track=v44*&amp;mch2=gsad&amp;gad_source=1&amp;gad_campaignid=20286857659&amp;gbraid=0AAAAAD8KVerAQCmzDCy4iZVZ2Z6-gwdtU&amp;gclid=CjwKCAjwup3HBhAAEiwA7euZujx4m6s4BG4zG_iRVhZ3kpaOnZyCyqGjcDQMHNNd4xHlQchw1AOpwxoC-J8QAvD_BwE</t>
  </si>
  <si>
    <t>Analoges Flipchart</t>
  </si>
  <si>
    <t>Leinwand Rollo</t>
  </si>
  <si>
    <t>Verbrauchsmaterial</t>
  </si>
  <si>
    <t>Etikettiergerät</t>
  </si>
  <si>
    <t>https://www.otto-office.com/de/Brother-P-touch-P700-Beschriftungsgeraet/90217/p?source=suggest&amp;suggesttype=product</t>
  </si>
  <si>
    <t>Brother</t>
  </si>
  <si>
    <t>Laminiergerät</t>
  </si>
  <si>
    <t>Leitz</t>
  </si>
  <si>
    <t>https://www.bueromarkt-ag.de/laminiergeraet_leitz_74744000_ilam_touch_2_a3,p-74744000,l-google-css,pd-b2c.html?utm_source=google&amp;utm_medium=cpc&amp;utm_campaign=20144954589&amp;gad_source=1</t>
  </si>
  <si>
    <t>1.24</t>
  </si>
  <si>
    <t>1.25</t>
  </si>
  <si>
    <t>1.26</t>
  </si>
  <si>
    <t>1.27</t>
  </si>
  <si>
    <t>Kaffeetassen 6er</t>
  </si>
  <si>
    <t>Hauswirtschaftliche Ausstattung</t>
  </si>
  <si>
    <t>Kaffeelöffel 12er</t>
  </si>
  <si>
    <t>Gläser 6er</t>
  </si>
  <si>
    <t>Planhülse Kunststoff A0</t>
  </si>
  <si>
    <t>Planhülse Kunststoff A1</t>
  </si>
  <si>
    <t>Bodenschutzmatte Schreibtischstuhl</t>
  </si>
  <si>
    <t>Schmutzfangmatte 90x120</t>
  </si>
  <si>
    <t>Laminierfolie A4</t>
  </si>
  <si>
    <t>Laminierfolie A3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</si>
  <si>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</si>
  <si>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</si>
  <si>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</si>
  <si>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</si>
  <si>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</si>
  <si>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</si>
  <si>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</si>
  <si>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</si>
  <si>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</si>
  <si>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</si>
  <si>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 xml:space="preserve">Hersteller </t>
  </si>
  <si>
    <t>Möbel</t>
  </si>
  <si>
    <t>Höhenverstellbarer Schreibtische</t>
  </si>
  <si>
    <t>Bürostuhl</t>
  </si>
  <si>
    <t>Stahlschrank abschließbar hoch</t>
  </si>
  <si>
    <t>Stahlschrank abschließbar niedrig</t>
  </si>
  <si>
    <t>Lagerregal</t>
  </si>
  <si>
    <t>Vitrine 45x45</t>
  </si>
  <si>
    <t>Vitrine 85x45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</si>
  <si>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</si>
  <si>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</si>
  <si>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</si>
  <si>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</si>
  <si>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</si>
  <si>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</si>
  <si>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</si>
  <si>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</si>
  <si>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</si>
  <si>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Orga/Büroausstattung/Archiv</t>
  </si>
  <si>
    <t>Filament Starter (3D Drucker)</t>
  </si>
  <si>
    <t>Filament Refill (3D Drucker)</t>
  </si>
  <si>
    <t>-</t>
  </si>
  <si>
    <t>https://www.bueromarkt-ag.de/kaffeebecher_ritzenhoffundbreker_suomi_310ml,p-59700-1,l-google-prd,pd-b2c.html?utm_source=google&amp;utm_medium=cpc&amp;utm_campaign=19706804280&amp;gad_source=1</t>
  </si>
  <si>
    <t>https://www.bueromarkt-ag.de/kaffeeloeffel_wmf_professional_base_edelstahl,p-1223076040.html</t>
  </si>
  <si>
    <t>https://www.bueromarkt-ag.de/trinkglaeser_ritzenhoffundbreker_4all_longdrink,p-690224.html</t>
  </si>
  <si>
    <t>https://www.bueromarkt-ag.de/versandhuelse_eichner_transparent_laenge_600-1450mm,p-9703-00059.html</t>
  </si>
  <si>
    <t>https://www.bueromarkt-ag.de/versandhuelse_rumold_transparent_laenge_350-620mm,p-bk65350.html</t>
  </si>
  <si>
    <t>https://www.bueromarkt-ag.de/bodenschutzmatte_floortex_valuemat_transparent,p-129017.html</t>
  </si>
  <si>
    <t>https://www.bueromarkt-ag.de/schmutzfangmatte_floordirekt_everest_sky,p-fd-564.html</t>
  </si>
  <si>
    <t>https://eu.store.bambulab.com/de/products/pla-basic-beginner-s-filament-pack</t>
  </si>
  <si>
    <t>https://eu.store.bambulab.com/de/products/pla-basic-refill-pack</t>
  </si>
  <si>
    <t>https://www.amazon.de/Fellowes-5306114-ImageLast-Laminierfolien-transparent/dp/B001BS1IIS/ref=sr_1_7?__mk_de_DE=%C3%85M%C3%85%C5%BD%C3%95%C3%91&amp;crid=MECKASQZFPKN&amp;dib=eyJ2IjoiMSJ9.tVexFUYk9YPej9uI-BYMmKvhgfXOadfVBUFWqXNktWZCcq-MrZW93ekZAmXmNtgWW7heFa5Ou417UacQh_VBsp10TbsjVuw8QZKnSKjgl5z5yF7jX-ufaQlwF1ytCR4KttbbmxFrNg2jcuUXaPdC0ewdRcmvO-8YPVOcjSyiWAKMs-7btZfdXb4UaaX1FdkTfdqi6QiaO2AtgN0wdjLEJr5apqe8D_YJOK5O7a9fT4rabCS_fYpTfg3v5sacauf44tmuZk_Ywa8fqGRetpFWYkBHmo36EOKzTQyyCiAYWPg.dZ168QgMFJahnB1vBNULnRMY6Vl1eCxzNz-stL_SaCw&amp;dib_tag=se&amp;keywords=laminierfolie&amp;qid=1760084571&amp;sprefix=laminierfolie%2Caps%2C87&amp;sr=8-7&amp;th=1</t>
  </si>
  <si>
    <t>https://www.amazon.de/Fellowes-ImageLast-Laminierfolien-Mikron-100er/dp/B000NJUWM4/ref=sr_1_9?__mk_de_DE=%C3%85M%C3%85%C5%BD%C3%95%C3%91&amp;crid=3GI9IKHNQWLJ5&amp;dib=eyJ2IjoiMSJ9.hVkxiByf3ZYC-Vwwds4wjNN2A9Cszg3gMSgIb2OURsDvZ74twlGm6AdEOj9LZgegE4ESSPcjuASQu0MNAmKeq2mBsf1YihOHDgi002BEJu_NSWcmsYTXL3JVla_yCf8P0H3W6uCvkwX9mcMGSRvYHGV9U7rj5HyM8uFHPFKsczYALtUDe78BTqS2dGmKzFNLCFim_cX3lwmiE6HR4ZZ9MY1nWHX_3khUCWAOA5anX0S4yXKDI2jQHEl9LIS-pCkbNngDRZj1CP5kKCLIskb5CX4Iuw4o8U7QrcJ975QUeRw.j4avS3Powpwy8BWWl9MDxRZAOOZqiCWchBnijrERJZA&amp;dib_tag=se&amp;keywords=laminierfolie%2BA3&amp;qid=1760084660&amp;sprefix=laminierfolie%2Ba3%2Caps%2C82&amp;sr=8-9&amp;th=1</t>
  </si>
  <si>
    <t>https://www.otto-office.com/de/HAMMERBACHER-Schreibtisch-XDSM19-Upper-Desk-180-cm-T-Fuss-silberfarben/96519/p?wkid=OO-4-DEoCX8aZbIVT9PpwAj</t>
  </si>
  <si>
    <t>https://www.bueromarkt-ag.de/rollcontainer_hammerbacher_b-serie_holz_buche,p-bac30b.html</t>
  </si>
  <si>
    <t>https://www.otto-office.com/de/HAMMERBACHER-Konferenztisch-DR08-Barcelona-80x80-cm-Gestell-schwarz/88016/p?wkid=OO-4-DE47Hw9ok77fGZFgiQ</t>
  </si>
  <si>
    <t>https://www.otto-office.com/de/SODEMATUB-Schreibtisch-160-cm-klappbar-alufarben/72538/p?wkid=OO-4-DEoCX8aZbIVT9PpwAj</t>
  </si>
  <si>
    <t>https://www.otto-office.com/de/Buerostuhl-mayer-Sitzmoebel-my-Wizard-mit-Armlehnen/341308/p?wkid=OO-4-DEoCX8aZbIVT9PpwAj</t>
  </si>
  <si>
    <t>https://www.otto-office.com/de/HAMMERBACHER-2er-Set-Stapelstuehle-Meeting-One/99829/p?wkid=OO-4-DEoCX8aZbIVT9PpwAj</t>
  </si>
  <si>
    <t>https://www.kaiserkraft.de/schraenke/werkstattschraenke/stahlschrank-nilas/mit-4-fachboeden/p/M20441365/?articleNumber=803758&amp;customerType=B2C&amp;utm_source=google&amp;utm_medium=cpc&amp;utm_campaign=PM_Cupboards&amp;utm_content=&amp;utm_term=&amp;infinity=ict2~net~gaw~cmp~PM_Cupboards~ag~~ar~~kw~~mt~&amp;gad_source=1&amp;gad_campaignid=21432098636&amp;gbraid=0AAAAADETXW3npLaeQ20cCSBPDVK9USm3k&amp;gclid=CjwKCAjwup3HBhAAEiwA7euZujOR3NLEKpUEVK2gfMsGG7NNlJkIhvgvMGKM6vSJPcqJ8IHAJliSNxoCCAsQAvD_BwE</t>
  </si>
  <si>
    <t>https://www.schaefer-shop.de/p/stahlschrank-2-oh-2-hoehenverstellbare-einlegeboeden-drehzylinderschloss-b-916-x-t-422-x-h-1000-mm-wahlweise-lichtgrau-ral-7035-lichtgrau-ral-7035-oder-lichtgrau-ral-7035-enzianblau-ral-5010?selectedItem=464506&amp;cc=A147001&amp;fprofile=b2c&amp;alw=1-3093-3271_464506_aff&amp;utm_medium=affiliate&amp;utm_campaign=915303&amp;sv1=affiliate&amp;sv_campaign_id=915303&amp;awc=11479_1760039504_409a799a19d258639242abf396e8aabb</t>
  </si>
  <si>
    <t>https://www.kaiserkraft.de/regale/fachbodenregale/lagerregal-lagan/regalhoehe-1800-mm/p/M20147794/?articleNumber=527278&amp;customerType=B2C&amp;utm_source=google&amp;utm_medium=cpc&amp;utm_campaign=PM_Shelving-Storage&amp;utm_content=&amp;utm_term=&amp;infinity=ict2~net~gaw~cmp~PM_Shelving-Storage~ag~~ar~~kw~~mt~&amp;gad_source=1&amp;gad_campaignid=22872048947&amp;gbraid=0AAAAADETXW3F0rTbmTVsmxb-zJCJI9Ul0&amp;gclid=CjwKCAjwup3HBhAAEiwA7euZuujgrH0ghpHYB2kZ7JNBknHdFCm3u0-HMxN0Gq-_I_oDry4IIqjrFxoCUtAQAvD_BwE</t>
  </si>
  <si>
    <t>https://buero-direkt24.de/drehturenschrank-pro-d4-4-oh/?gad_source=1&amp;gad_campaignid=18902378376&amp;gbraid=0AAAAADyzpHRFGy-Qy50vgpINcTrPDDdVm&amp;gclid=CjwKCAjwup3HBhAAEiwA7euZukKfztV9JSP2ayiPYnSzFlw63Q_1CJWQi10R0qmTkEjBiWDfGibI9BoCoxIQAvD_BwE</t>
  </si>
  <si>
    <t>https://www.otto-office.com/de/Kerkmann-Vitrine-expoline-45-cm-breit/57738/p?wkid=OO-4-DEoCX8aZbIVT9PpwAj</t>
  </si>
  <si>
    <t>https://www.otto-office.com/de/Kerkmann-Vitrine-expoline-85-cm-breit/57740/p?wkid=OO-4-DEoCX8aZbIVT9PpwAj</t>
  </si>
  <si>
    <t>Kaiserkraft</t>
  </si>
  <si>
    <t>buero-direkt24</t>
  </si>
  <si>
    <t>Einzelpreis / netto (Website)</t>
  </si>
  <si>
    <t>Otto Office*</t>
  </si>
  <si>
    <t>Hammerbacher</t>
  </si>
  <si>
    <t>Fellowes</t>
  </si>
  <si>
    <t xml:space="preserve">Bambu  </t>
  </si>
  <si>
    <t>Bambu</t>
  </si>
  <si>
    <t>Floordirekt</t>
  </si>
  <si>
    <t>Floortex</t>
  </si>
  <si>
    <t>Rumold</t>
  </si>
  <si>
    <t>Eichner</t>
  </si>
  <si>
    <t xml:space="preserve">Ritzenhoff &amp; Breker </t>
  </si>
  <si>
    <t>WMF</t>
  </si>
  <si>
    <t>Mayer</t>
  </si>
  <si>
    <t xml:space="preserve">SODEMATUB </t>
  </si>
  <si>
    <t xml:space="preserve">Konferenzstuhl 2er Set </t>
  </si>
  <si>
    <t>Eurokraft</t>
  </si>
  <si>
    <t>https://www.amazon.de/-/en/Philips-Senseo-Maestro-Coffee-Machine/dp/B0B9NR4TJR/ref=sr_1_1?crid=18QBZIJ7YFOGA&amp;dib=eyJ2IjoiMSJ9.PfJ_Ge-gKNEov9XO6piDjmATsn2RN5vy8EZV3IqtWj3t2DijzRSdsU_2yyHCHNDKMQJVdv-wAZTf3xfrU5PIGuLyEtl2Ts83Z1NZTUyq7AFGQ3wmp8iX5jsDbF9gBBpdlkRKMtsqR9bW_YbmDVgH6xg4hz6HJQqQISp60wmLXbfICQVjgwpKW77-CEvOVcjiSHAUTf8XWnym7CnZlgILOqKgusNUqTCcNGQGaexCkR8.aBYCS62srgzEQKjy4S86k5lBBP2Z54IAsO3Ed2DQyhM&amp;dib_tag=se&amp;keywords=Philips+Senseo+Maestro+Coffee+Pod+Machine+-+Intense+Plus+Technology%2C+High-Quality+Espresso+Quality%2C+Environmentally+Friendly+Design%2C+1.2+L+Water+Tank%2C+Memo+Function%2C+Descaling+Indicator+%28CSA260%2F60%29&amp;qid=1760445146&amp;sprefix=philips+senseo+maestro+coffee+pod+machine+-+intense+plus+technology+high-quality+espresso+quality+environmentally+friendly+design+1.2+l+water+tank+memo+function+descaling+indicator+csa260%2F60+%2Caps%2C111&amp;sr=8-1&amp;language=de_DE</t>
  </si>
  <si>
    <t>Drehtürenschrank buche 120 cm, Schloss mittig</t>
  </si>
  <si>
    <t>Kerkmann</t>
  </si>
  <si>
    <t>USB C Ladekabel</t>
  </si>
  <si>
    <t>3x2</t>
  </si>
  <si>
    <t>https://www.amazon.de/INIU-Schnelllakabel-Geflochten-Ladekabel-Datenkabel/dp/B08J7PQGD7/ref=sr_1_2?crid=W83L5PN73JYT&amp;dib=eyJ2IjoiMSJ9.BwXe24bKLz7ZR6bEXN8lAIbr4Uqv4OfeRHLBjNMtEw-0dR3UJbAxh4ITopB1dH9VO5y8u2t6y8lb-jxt9mdfMdCX9bWTUx99s2vEWsbzr9hjuNvaweqFp3k01jxzeIep-WJJr-H_sKgjo9ml9U2_-gRW5UVybHSQk1NOyWMLvpEOmqZGm8mF-cVceBxtpyHZDbFaKs-j2vxgglZBIsi1OpJLBnHKIch5rNDt18CrEZc.lDmIers0wRiZG8PqWKln2-guu8bvp_YMyyrrIEv-Y-g&amp;dib_tag=se&amp;keywords=USB%2BC%2Bschnellladekabel&amp;qid=1760528403&amp;sprefix=usb%2Bc%2Bschnellladekabel%2Caps%2C99&amp;sr=8-2&amp;th=1</t>
  </si>
  <si>
    <t>Tablethülle</t>
  </si>
  <si>
    <t>Gerutek</t>
  </si>
  <si>
    <t>https://www.amazon.de/dp/B0BL2BXWW8?ref=fed_asin_title&amp;th=1</t>
  </si>
  <si>
    <t>Schutzfolie</t>
  </si>
  <si>
    <t>Green monkey</t>
  </si>
  <si>
    <t>Green Monkey</t>
  </si>
  <si>
    <t>https://greenmnky.de/products/die-greenmnky-panzerfolie-fur-dein-apple-ipad-10-9-2022?_pos=1&amp;_psq=IPad+10&amp;_ss=e&amp;_v=1.0</t>
  </si>
  <si>
    <t>Netzstecker</t>
  </si>
  <si>
    <t>UGREEN</t>
  </si>
  <si>
    <t>https://www.amazon.de/UGREEN-Ladeger%C3%A4t-Netzteil-unterst%C3%BCtzt-kompatibel-Schwarz/dp/B0CYT1VVMV/ref=sr_1_1?crid=5JD493D3ISHS&amp;dib=eyJ2IjoiMSJ9.9yR13rru5XFWksBB2WSy_FZYDXppnCi4S9EJh0yBy-iwVtC7ASiBNLwBSjbdbL6oQpOHU9A2vglQM-17_znEnB_Q8cCobsfUYV2oJ0L6zlVJSfzlp9GKMn8QzXrbe8MZ534ZAK1_VQBs_3OI7xbJZHQ8Ypez63gKXu8flqZJTmfbo85sFkBDzl_tIdxBiexC8UCJbgyQX_wEfzBhqHAryUVwOe9xX59SrRo_z_TBPO0.3JMsD_H0mZhMX8Kb5STgouRLctGPbDWewidHdv_1ugc&amp;dib_tag=se&amp;keywords=netzteil+4x+usb+c&amp;qid=1760533070&amp;sprefix=netzteil+4x+usb+c%2Caps%2C136&amp;sr=8-1</t>
  </si>
  <si>
    <t>https://www.bueromarkt-ag.de/moderationskoffer_franken_umkr_trainer,p-umkr,l-94511215,pd-b2c.html?vpid=eeb8de5e08c8d03cdbc4e8e1c7d5075a</t>
  </si>
  <si>
    <t>Franken Moderationskoffer UMKR Trainer, Aluminiumkoffer mit Rollen, 3156 Teile</t>
  </si>
  <si>
    <t>2.1</t>
  </si>
  <si>
    <t>Quirnbach</t>
  </si>
  <si>
    <t>2.2</t>
  </si>
  <si>
    <t>2.4</t>
  </si>
  <si>
    <t>Laptop</t>
  </si>
  <si>
    <t>2.5</t>
  </si>
  <si>
    <t>2.6</t>
  </si>
  <si>
    <t>Telefon</t>
  </si>
  <si>
    <t>2.7</t>
  </si>
  <si>
    <t>2.8</t>
  </si>
  <si>
    <t>2.9</t>
  </si>
  <si>
    <t>Digitale Musikastation/ Karaoke-Set</t>
  </si>
  <si>
    <t>2.10</t>
  </si>
  <si>
    <t>Router</t>
  </si>
  <si>
    <t>2.11</t>
  </si>
  <si>
    <t>2.12</t>
  </si>
  <si>
    <t>Beamer (mobiles Kino)</t>
  </si>
  <si>
    <t>2.13</t>
  </si>
  <si>
    <t>2.14</t>
  </si>
  <si>
    <t>Mobiles Smartboard</t>
  </si>
  <si>
    <t>2.16</t>
  </si>
  <si>
    <t>Aktivierungstisch</t>
  </si>
  <si>
    <t>2.17</t>
  </si>
  <si>
    <t>Kappeln</t>
  </si>
  <si>
    <t>Laiserpointer</t>
  </si>
  <si>
    <t>außen</t>
  </si>
  <si>
    <t>Elektrische Markise</t>
  </si>
  <si>
    <t>innen und außen</t>
  </si>
  <si>
    <t>Mobile Theke</t>
  </si>
  <si>
    <r>
      <t xml:space="preserve">ViewSonic ViewBoard IFP5550-5 </t>
    </r>
    <r>
      <rPr>
        <b/>
        <sz val="11"/>
        <color rgb="FFFF0000"/>
        <rFont val="Calibri"/>
        <family val="2"/>
        <scheme val="minor"/>
      </rPr>
      <t>55" (65 Halterung Angebot)</t>
    </r>
    <r>
      <rPr>
        <sz val="11"/>
        <color theme="1"/>
        <rFont val="Calibri"/>
        <family val="2"/>
        <scheme val="minor"/>
      </rPr>
      <t xml:space="preserve">
bedienerfreundliches Touch Display mit zahlreichen Unterrichtsanwendungen</t>
    </r>
  </si>
  <si>
    <t>LTE/5G-Router</t>
  </si>
  <si>
    <t>https://www.deubaxxl.de/stehtisch-grau-110x80cm-stehtischhusse-anthrazit-oe80cm/997387/?utm_source=google&amp;utm_medium=cpc&amp;utm_campaign=12317633885&amp;utm_term=&amp;utm_content=498165706286&amp;gclid=EAIaIQobChMIvJ6s6MSokAMVjZiDBx2glyR1EAQYDiABEgKdrfD_BwE&amp;gad_source=1&amp;gad_campaignid=12317633885&amp;gbraid=0AAAAABwmNUbS-mEoaD4f-IaRa3Tx53ERG</t>
  </si>
  <si>
    <t>Stehtisch Grau 110x80cm + Stehtischhusse Anthrazit Ø80cm (klappbar)</t>
  </si>
  <si>
    <t>4.1</t>
  </si>
  <si>
    <t>Herschweiler-
Pettersheim</t>
  </si>
  <si>
    <t>Tablet (mit oder ohne Koffer?)</t>
  </si>
  <si>
    <t>4.2</t>
  </si>
  <si>
    <t>4.3</t>
  </si>
  <si>
    <t>4.4</t>
  </si>
  <si>
    <t>Beamer für großen Raum</t>
  </si>
  <si>
    <t>4.5</t>
  </si>
  <si>
    <t>Beamer für kleineren Raum</t>
  </si>
  <si>
    <t>4.6</t>
  </si>
  <si>
    <t>4.7</t>
  </si>
  <si>
    <t>Eule / 360° Konferenzsystem</t>
  </si>
  <si>
    <t>4.8</t>
  </si>
  <si>
    <t>4.9</t>
  </si>
  <si>
    <t>Barrierefreiheit</t>
  </si>
  <si>
    <t>Rampe</t>
  </si>
  <si>
    <t>4.10</t>
  </si>
  <si>
    <t>mobile Pavillons, inkl. Befestigung</t>
  </si>
  <si>
    <t>4.11</t>
  </si>
  <si>
    <t>4.12</t>
  </si>
  <si>
    <t>Garnituren mit Rückenlehne</t>
  </si>
  <si>
    <t>4.13</t>
  </si>
  <si>
    <t>Beleuchtung</t>
  </si>
  <si>
    <t>Außenbeleuchtung</t>
  </si>
  <si>
    <t>Dienstleister/Fachfirma</t>
  </si>
  <si>
    <t>4.14</t>
  </si>
  <si>
    <t>Pavillonbeleuchtung</t>
  </si>
  <si>
    <t>4.15</t>
  </si>
  <si>
    <t>Anhänger für Abschließbare Lagerung</t>
  </si>
  <si>
    <t>4.16</t>
  </si>
  <si>
    <t>Lautsprecheranlage außen, montiert</t>
  </si>
  <si>
    <t>Hoppstädten</t>
  </si>
  <si>
    <t>?</t>
  </si>
  <si>
    <t>EDV?</t>
  </si>
  <si>
    <t>Stehtische</t>
  </si>
  <si>
    <t>Metro</t>
  </si>
  <si>
    <t>https://www.metro.de/marktplatz/product/f7b2c4e6-e772-456f-bea5-d71286387ad6?mfeed_oid=59cd58f1-1ff3-4f40-bb2f-82f17a4909de&amp;mfeed_bm=1&amp;utm_source=google&amp;utm_medium=cpc&amp;utm_campaign=de_mm_ag_shopping_all_standard_all_b2c_feed_brand&amp;gad_source=1&amp;gad_campaignid=22549537188&amp;gbraid=0AAAAACqaXxZ3ZlsSpDszjkkHtVxzVBwAt&amp;gclid=EAIaIQobChMIxMWevLOokAMVuICDBx1LbBZ1EAQYASABEgLxt_D_BwE</t>
  </si>
  <si>
    <t>Panasonic</t>
  </si>
  <si>
    <t>Morelenet Kaufland Marketplace</t>
  </si>
  <si>
    <t>https://www.kaufland.de/product/347043117/</t>
  </si>
  <si>
    <t>Leinwand Deckeineinbau</t>
  </si>
  <si>
    <t>aadVision by Stiers</t>
  </si>
  <si>
    <t>Stiers</t>
  </si>
  <si>
    <t>https://stiers.de/produkt/smart-home-deckeneinbauleinwand-300-x-169-cm-ultra-white-projektionsflaeche-16-9-elektrisch-b1/</t>
  </si>
  <si>
    <t>Lautsprechersystem/Audioanlage</t>
  </si>
  <si>
    <t>Thomann</t>
  </si>
  <si>
    <t>5.8</t>
  </si>
  <si>
    <t>https://www.metro.de/marktplatz/product/6f2c525f-32e5-4efb-a073-d790b5440648?mfeed_oid=f6ec19b0-939c-442b-96f0-2668d4af8668&amp;mfeed_bm=1&amp;utm_source=google&amp;utm_medium=cpc&amp;utm_campaign=de_mm_ag_shopping_all_standard_all_b2c_feed_brand&amp;gad_source=1&amp;gad_campaignid=22549537188&amp;gbraid=0AAAAACqaXxYRNYgVJoj1dsFO2DtiYh3t1&amp;gclid=EAIaIQobChMI8eL3xKmokAMVPZWDBx1M8iBpEAQYASABEgIEcPD_BwE&amp;itm_pm=cookie_consent_accept_button</t>
  </si>
  <si>
    <t>5.9</t>
  </si>
  <si>
    <t>Warmhaltebehälter Bain Marie (Elektro)</t>
  </si>
  <si>
    <t>Bartscher</t>
  </si>
  <si>
    <t>https://www.metro.de/marktplatz/product/c3c7cf57-084a-4a94-9874-4bc0ec07e552?mfeed_oid=667aa3a6-c609-4286-abba-da6bbf9c352f&amp;mfeed_bm=1&amp;utm_source=google&amp;utm_medium=cpc&amp;utm_campaign=de_mm_ag_pmax_all_dynamic_all_b2c_feed_high&amp;gad_source=1&amp;gad_campaignid=20948705910&amp;gbraid=0AAAAACqaXxbAGi320xBmljxQ13PAKAZLL&amp;gclid=EAIaIQobChMI38Kly6-okAMV8qaDBx1Mvy5NEAQYAiABEgKDDfD_BwE</t>
  </si>
  <si>
    <t>5.10</t>
  </si>
  <si>
    <t>Warmhaltebehälter Chafing Dish (Gas)</t>
  </si>
  <si>
    <t>https://www.metro.de/marktplatz/product/41a91ff9-fa1f-42fb-a8fc-c95a222f4982</t>
  </si>
  <si>
    <t>5.11</t>
  </si>
  <si>
    <t>Bühnenbeleuchtung</t>
  </si>
  <si>
    <t>Cameo</t>
  </si>
  <si>
    <t>https://www.thomann.de/de/cameo_q_spot_40_rgbw_white.htm?gad_source=1&amp;gad_campaignid=1576042969&amp;gbraid=0AAAAADuDMCU6zQMjXY41n3ysw_2MOD_ci&amp;gclid=EAIaIQobChMI0ZP8wKqokAMVq9hEBx3DOjOHEAQYAyABEgIlwvD_BwE</t>
  </si>
  <si>
    <t>5.12</t>
  </si>
  <si>
    <t>Aktivtisch</t>
  </si>
  <si>
    <t>https://www.aktivtisch.de/preise</t>
  </si>
  <si>
    <t>s.u.</t>
  </si>
  <si>
    <t>Schätzpreise der Gemeinde</t>
  </si>
  <si>
    <t>6.1</t>
  </si>
  <si>
    <t>Langweiler</t>
  </si>
  <si>
    <t>WLAN Router (Glasfaser) (Siehe H-P), evtl Hybrid</t>
  </si>
  <si>
    <t>Accesspoint draußen</t>
  </si>
  <si>
    <t>WLAN Repeater (Glasfaser) (siehe H-P)</t>
  </si>
  <si>
    <t>Beamer?</t>
  </si>
  <si>
    <t>mobile Lautsprecheranlage mit Mikrofon</t>
  </si>
  <si>
    <t>Mobiler Bildschirm inkl. Fahrgestell (siehe Smart TV mit Ständer bei St. Julian) Budget mit 1500 höher, aber Budgetkürzungen ohnehin notwendig</t>
  </si>
  <si>
    <t>USB Adapter</t>
  </si>
  <si>
    <t>Stapelbare Stühle &amp; Tische für Innenbereich</t>
  </si>
  <si>
    <t>Pinnwände</t>
  </si>
  <si>
    <t>Präsentationskoffer</t>
  </si>
  <si>
    <t>Flipchart</t>
  </si>
  <si>
    <t>(Kaffeevollautomat)</t>
  </si>
  <si>
    <t>(Rampensystem)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</si>
  <si>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</si>
  <si>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</si>
  <si>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</si>
  <si>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</si>
  <si>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</si>
  <si>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</si>
  <si>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</si>
  <si>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</si>
  <si>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</si>
  <si>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</si>
  <si>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</si>
  <si>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</si>
  <si>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</si>
  <si>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</si>
  <si>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</si>
  <si>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inkl.</t>
  </si>
  <si>
    <t>Drucker</t>
  </si>
  <si>
    <t>Repeater</t>
  </si>
  <si>
    <t>https://www.conrad.de/de/p/asus-zenwifi-bq16-3er-wlan-router-2-4-ghz-5-ghz-6-ghz-3415093.html?hk=SEM&amp;WT.mc_id=google_pla&amp;qwer=Cj0KCQjwjL3HBhCgARIsAPUg7a59QXutxynw2ztd1LJ8RHcjGAAm7uz5Pq_R_ysF9NO-18_O8gNO3x8aApH_EALw_wcB&amp;utm_source=google&amp;utm_medium=cpc&amp;utm_campaign=DE+-+PMAX+-</t>
  </si>
  <si>
    <t>Asus</t>
  </si>
  <si>
    <t>Router (3er)</t>
  </si>
  <si>
    <t>Ikarao</t>
  </si>
  <si>
    <t>https://www.amazon.de/dp/B084P3KP2S?ref=amzdv_ucc_dp_lod__B084P3KP2S</t>
  </si>
  <si>
    <t>Echo Show</t>
  </si>
  <si>
    <t>Otto</t>
  </si>
  <si>
    <t>https://www.otto.de/p/steelboxx-drehstuhl-buerodrehstuhl-bandscheiben-schreibtischstuhl-drehstuhl-buerostuhl-1-sitz-und-rueckenflaechen-sind-ergonomisch-geformt-S0G1S0A8/?variationId=S0G1S0A82NF2#ech=29343682</t>
  </si>
  <si>
    <t>Steelboxx</t>
  </si>
  <si>
    <t>https://www.otto.de/p/bmg-moebel-bueromoebel-set-office-edition-5-buero-set-8-tlg-tueren-abschliessbar-rollcontainer-S0F0S0NL/#variationId=S0F0S0NLA2M0</t>
  </si>
  <si>
    <t>BMG Möbel</t>
  </si>
  <si>
    <t>Otto (Set 8 teilig, Tisch nicht rollbar)</t>
  </si>
  <si>
    <t>Lautsprecher (mobiles Kino)</t>
  </si>
  <si>
    <t>Bildschirm freistehend</t>
  </si>
  <si>
    <t>Werkstation</t>
  </si>
  <si>
    <t>freistehend, mobil; 35 oder 43 Zoll</t>
  </si>
  <si>
    <t>https://werkstation.de/produkt/touchscreen-tisch-priska/</t>
  </si>
  <si>
    <t>3D-Drucker</t>
  </si>
  <si>
    <t>https://hkaudio.com/de/produkte/p10j/</t>
  </si>
  <si>
    <t>H&amp;K</t>
  </si>
  <si>
    <t>Audio Anlage: Boxen</t>
  </si>
  <si>
    <t>https://www.thomann.de/de/lab_gruppen_ipx_2400.htm</t>
  </si>
  <si>
    <t>LAB Gruppen</t>
  </si>
  <si>
    <t>Audio Anlage: Verstärker</t>
  </si>
  <si>
    <t>https://hkaudio.com/de/produkte/s210-v/</t>
  </si>
  <si>
    <t>Audio Anlage: Subwoofer</t>
  </si>
  <si>
    <t>Audio Anlage: Rack Mixer USB</t>
  </si>
  <si>
    <t>https://www.musicstore.de/de_DE/EUR/Omnitronic-RM-1422FX-USB/art-PAH0019172-000#reviewBar</t>
  </si>
  <si>
    <t>Omnitronic</t>
  </si>
  <si>
    <t>Musicstore</t>
  </si>
  <si>
    <t>Audio Anlage: Transportkoffer</t>
  </si>
  <si>
    <t>https://www.thomann.de/de/thomann_rack_case_12u.htm</t>
  </si>
  <si>
    <t>Material Außenwasseranschluss (Installation in Eigenleistung)</t>
  </si>
  <si>
    <t>Material für Installationen</t>
  </si>
  <si>
    <t>Dienstleister/Sonderanfertigung</t>
  </si>
  <si>
    <t>Schreinerei Stefan Weiß</t>
  </si>
  <si>
    <t>Dienstleistung</t>
  </si>
  <si>
    <t>Kostenvoranschlag des Dienstleisters noch in KW43 erwartet</t>
  </si>
  <si>
    <t>Software</t>
  </si>
  <si>
    <t>MS Office Paket (Lokales Standardpaket)</t>
  </si>
  <si>
    <t>Microsoft</t>
  </si>
  <si>
    <t>Tablet (iPad)</t>
  </si>
  <si>
    <t>hama</t>
  </si>
  <si>
    <t xml:space="preserve">egal </t>
  </si>
  <si>
    <t>Kompatibilität Tastatur?</t>
  </si>
  <si>
    <t>Außengestaltung</t>
  </si>
  <si>
    <t>Montage in Eigenleistung</t>
  </si>
  <si>
    <t>Außenplanen (Aufschlüsselung siehe Preisermittlungsdokument)</t>
  </si>
  <si>
    <t>Außenplanen Befestigungsmaterial</t>
  </si>
  <si>
    <t>rebo-planen.de</t>
  </si>
  <si>
    <t xml:space="preserve">Thomann </t>
  </si>
  <si>
    <t>Batterie</t>
  </si>
  <si>
    <t xml:space="preserve">Schreibtisch </t>
  </si>
  <si>
    <t xml:space="preserve">Schutzhüllen Tablets/ Tabletständer </t>
  </si>
  <si>
    <t>Tablets (seniorengerecht)</t>
  </si>
  <si>
    <t>220 m</t>
  </si>
  <si>
    <t>iPad Pro 13" (512 GB) Tablet</t>
  </si>
  <si>
    <t xml:space="preserve">MacBook 15" (256 GB) </t>
  </si>
  <si>
    <t>1.47</t>
  </si>
  <si>
    <t>1.48</t>
  </si>
  <si>
    <t>Boden &amp; Wand</t>
  </si>
  <si>
    <t>Rumikewitz</t>
  </si>
  <si>
    <t>Malerfachbetrieb</t>
  </si>
  <si>
    <t>Sanitär &amp; Heizung</t>
  </si>
  <si>
    <t>Lukas &amp; Hebel Haustechnik GmbH</t>
  </si>
  <si>
    <t>Fachbetrieb</t>
  </si>
  <si>
    <t>1.49</t>
  </si>
  <si>
    <t>Elektrik, Beleuchtung &amp; Netzwerk</t>
  </si>
  <si>
    <t>Verdunkelungsvorhänge</t>
  </si>
  <si>
    <t>Angebote und Vergabe steht noch aus, Schätzpreis der Gemeinde</t>
  </si>
  <si>
    <t xml:space="preserve">Ausmessung Außenplanen </t>
  </si>
  <si>
    <t>genaue Liste links neben Zeilennummer auf- oder einklappen (+/-)</t>
  </si>
  <si>
    <t>1 x T-Stück 18/ ½“ / 18</t>
  </si>
  <si>
    <t>1 x Schrägsitzventil ½“</t>
  </si>
  <si>
    <t>1 x Doppelnippel ½“, 60 mm</t>
  </si>
  <si>
    <t>1 x PP-Nippel 15 / ½“</t>
  </si>
  <si>
    <t>1 x Wandscheibe 15</t>
  </si>
  <si>
    <t>1 x Gerätehahn Schlösser ½“</t>
  </si>
  <si>
    <t>15 x Schelle 15</t>
  </si>
  <si>
    <t>10 x Winkel 15</t>
  </si>
  <si>
    <t>20 Meter CU-Rohr 15</t>
  </si>
  <si>
    <t>evtl. Kombiangebot mit Herstellung &amp; Lieferung Außenplanen, Preis bisher unbekannt</t>
  </si>
  <si>
    <t>nur Beispiel, Maße ungenau</t>
  </si>
  <si>
    <t>Kabellose Tastatur &amp; Maus</t>
  </si>
  <si>
    <t>Obsbot</t>
  </si>
  <si>
    <t>Reichelt</t>
  </si>
  <si>
    <t>https://www.reichelt.de/de/de/shop/produkt/ki-unterstuetzte_4k_ptz-streaming-kamera-370617?PRO_VID=2788&amp;gad_source=1&amp;gad_campaignid=183388+67917&amp;gclid=CjwKCAjwuePGBhBZEiwAIGCVSwHVH8z+zDuwbY4WHE0BV8G-FdheRSA5PzLSH9pV93wsYpRNomd+AD0xoCqGwQAvD_BwE</t>
  </si>
  <si>
    <t>https://www.mmobiel.com/de/mmobiel-hdmi-8k-glasfaserkabel-15m-48gbps-ultra-high-speed-8kat60hz-schwarz</t>
  </si>
  <si>
    <t>MMobiel</t>
  </si>
  <si>
    <t>Mmobiel</t>
  </si>
  <si>
    <t>HDMI Kabel Glasfaser 8K</t>
  </si>
  <si>
    <t>Konferenzkamera / 360° Kamera</t>
  </si>
  <si>
    <t>Teltec</t>
  </si>
  <si>
    <t>https://teltec.de/panasonic-pressit360-meeting-room-camera.html</t>
  </si>
  <si>
    <t>Beamer EB-L795SE</t>
  </si>
  <si>
    <t>https://www.epson.de/de_DE/produkte/projector/short-distance/eb-l795se%C2%A0%E2%80%93-7-000%C2%A0lumen%2C-4ke-kurzdistanz-projektor%2C-der-sich-auf-eine-emissionsfreie-zukunft-konzentriert-%280%2C79%E2%80%931%2C36%3A1%29/p/52434?pid=52434</t>
  </si>
  <si>
    <t>Barco</t>
  </si>
  <si>
    <t>Bechtle</t>
  </si>
  <si>
    <t>https://www.bechtle.com/shop/barco-cx-30-gen-2-praesentationssystem--4698535--p</t>
  </si>
  <si>
    <t>Apple /EDV?</t>
  </si>
  <si>
    <t>nicht endgültig! fensterversand.com</t>
  </si>
  <si>
    <t>Audio Anlage: Set mit 2 Mikrofonen</t>
  </si>
  <si>
    <t>LD Systems</t>
  </si>
  <si>
    <t>https://www.thomann.de/de/ld_systems_u505_hhd2.htm</t>
  </si>
  <si>
    <t>Audio Anlage: Steckdosenleiste</t>
  </si>
  <si>
    <t>t.racks</t>
  </si>
  <si>
    <t>https://www.thomann.de/de/the_t_racks_power_8_s.htm</t>
  </si>
  <si>
    <t>Audio Anlage: Rack-Schublade</t>
  </si>
  <si>
    <t>Audio Anlage: Kabel im Rack</t>
  </si>
  <si>
    <t>Audio Anlage: Audio Kabel Beamer Mixer</t>
  </si>
  <si>
    <t>Audio Anlage: Patchbay</t>
  </si>
  <si>
    <t>Audio Anlage: Verkabelung Rack</t>
  </si>
  <si>
    <t>Audio Anlage: Kabel Endstufe</t>
  </si>
  <si>
    <t>Thon</t>
  </si>
  <si>
    <t>https://www.thomann.de/de/thon_rackschublade_2he.htm</t>
  </si>
  <si>
    <t>https://www.thomann.de/de/cordial_cfm_05_fm_sw.htm</t>
  </si>
  <si>
    <t>Cordial</t>
  </si>
  <si>
    <t>Netzwerk: Access Point</t>
  </si>
  <si>
    <t>Netzwerk: Access Point Draußen</t>
  </si>
  <si>
    <t>Netzwerk: Switch</t>
  </si>
  <si>
    <t>Netzwerk: Controller</t>
  </si>
  <si>
    <t>Netzwerk: Netzwerkkabel Cat 7 Duplex</t>
  </si>
  <si>
    <t>Netzwerk: Netzwerkdose Doppelt</t>
  </si>
  <si>
    <t>Netzwerk: PoE Switch + Zubehör</t>
  </si>
  <si>
    <t>Netzwerk: Patchfeld</t>
  </si>
  <si>
    <t>Geoskop</t>
  </si>
  <si>
    <t>https://www.reichelt.de/de/de/shop/produkt/3d_drucker_bambu_lab_p1s_combo-384186?PROVID=2788&amp;gad_source=1&amp;gad_campaignid=18342179204&amp;gbraid=0AAAAADwnxtYaMJ56VaeTk1gc2GEv5x1hR&amp;gclid=CjwKCAjwu9fHBhAWEiwAzGRC__7pmk321rxfRNxJNgCFE_AxkPpiNlw-eIobFbIGVTZLrEE-ao2-mxoCFMkQAvD_BwE</t>
  </si>
  <si>
    <t>Museen VGOG</t>
  </si>
  <si>
    <t>Kopfhörer</t>
  </si>
  <si>
    <t>JBL Tune 520C</t>
  </si>
  <si>
    <t>https://www.amazon.de/JBL-kabelgebundene-Ear-Kopfh%C3%B6rer-USB-C-Anschluss-kabelsalatfreies-Black/dp/B0F24YXJD8/ref=sr_1_6?crid=VPI0YM63HQXU&amp;dib=eyJ2IjoiMSJ9.E5xNGZ-M6qR_wBDHXcljX6rTa0EBPluivwCYvOZhalMcZsC-ks_WsVFnGCL4BwsO6KMKAJ8Dctmo0bAWXjtAgZGJ0MblL2jJ3zDSJW9XVJGSGjWKShAr7XnrMcXqw8aWKrdbUnLSYLZT3Ij6-gwxV3E6-5-Oyvl4-J1cnOoZrE2sJWTLFYdj9SC73bsyBswZh6OYl-iqWIKjJ1G9Y-kVSi8oWHvsRbTXgSmBRqqaB4o.zQpwOPNrksonJmjeJ1jp_ULYxOc3y2c4MLgUETEUarI&amp;dib_tag=se&amp;keywords=kopfh%C3%B6rer%2Busb%2Bc&amp;qid=1760958096&amp;sprefix=kopfh%C3%B6rer%2Busb%2Bc%2Caps%2C137&amp;sr=8-6&amp;th=1</t>
  </si>
  <si>
    <t>3.6</t>
  </si>
  <si>
    <t>3.1</t>
  </si>
  <si>
    <t>3.31</t>
  </si>
  <si>
    <t>Unser 3D Drucker</t>
  </si>
  <si>
    <t xml:space="preserve">Zubehör Museen </t>
  </si>
  <si>
    <t xml:space="preserve">alle Museen </t>
  </si>
  <si>
    <t>Projekt</t>
  </si>
  <si>
    <t>Rollcontainer Buche</t>
  </si>
  <si>
    <t>Konferenztisch Buche</t>
  </si>
  <si>
    <t>Konferenztisch klappbar Buche</t>
  </si>
  <si>
    <t>Moderationskoffer</t>
  </si>
  <si>
    <t>Bötcher AG</t>
  </si>
  <si>
    <t>Pos.</t>
  </si>
  <si>
    <t>Produkttyp</t>
  </si>
  <si>
    <t>Produktdetails</t>
  </si>
  <si>
    <t>Lautsprecher</t>
  </si>
  <si>
    <t>PC</t>
  </si>
  <si>
    <t xml:space="preserve">Party Box </t>
  </si>
  <si>
    <t>mit Scanfunktion</t>
  </si>
  <si>
    <t>Smart Home System</t>
  </si>
  <si>
    <t>Smart Speaker: Echo Show (für Senioren zur Ausleihe)</t>
  </si>
  <si>
    <t>Karaoke Set</t>
  </si>
  <si>
    <t>Smartboard</t>
  </si>
  <si>
    <t xml:space="preserve">iPad Pro 13" (512 GB) </t>
  </si>
  <si>
    <t>iPad</t>
  </si>
  <si>
    <t>Eule</t>
  </si>
  <si>
    <t>Rahmenvertrag EDV/IT</t>
  </si>
  <si>
    <t>Tastatur</t>
  </si>
  <si>
    <t>Tablet Stift</t>
  </si>
  <si>
    <t>PC Maus</t>
  </si>
  <si>
    <t>Tastatur &amp; Maus</t>
  </si>
  <si>
    <t>Streaming Kamera</t>
  </si>
  <si>
    <t>WLAN Kamera, KI-unterstützte 4K PTZ-Streaming-Kamera</t>
  </si>
  <si>
    <t>Dongle</t>
  </si>
  <si>
    <t>Drahtlossystem CX30 für drahtlose Präsentationen</t>
  </si>
  <si>
    <t>Mobiler Bildschirm</t>
  </si>
  <si>
    <t>Beamer? Nochmal prüfen, ob angefordert/gewollt</t>
  </si>
  <si>
    <t>EDV &amp; Technik</t>
  </si>
  <si>
    <t>Audio Anlage Angebot liegt noch nicht vor: Installation durch Fachfirma + ggf. Beschaffung der unten genannten Elemente</t>
  </si>
  <si>
    <t>https://www.lusini.com/de-de/pdp/167667/</t>
  </si>
  <si>
    <t>Borgonovo
Bierkrug Icon</t>
  </si>
  <si>
    <t>Bierkrug / 6 Stück pro Pack
6*100=600</t>
  </si>
  <si>
    <t xml:space="preserve">https://www.lusini.com/de-de/pdp/110283/ </t>
  </si>
  <si>
    <r>
      <t xml:space="preserve">Weißes Porzellan-Set zum Vorteilspreis. Bestehend aus
18 Kaffee-Obertassen 0,18 l
18 Kaffee-Untertassen Ø 15,5 cm
18 Teller flach Ø 19 cm
</t>
    </r>
    <r>
      <rPr>
        <sz val="11"/>
        <color rgb="FFFF0000"/>
        <rFont val="Calibri"/>
        <family val="2"/>
        <scheme val="minor"/>
      </rPr>
      <t>17 Sets á 18 = 306</t>
    </r>
  </si>
  <si>
    <r>
      <t xml:space="preserve">Weißes Porzellan-Set zum Vorteilspreis. Bestehend aus
18 Teller flach Ø 25,5 cm
18 Teller tief Ø 23 cm
</t>
    </r>
    <r>
      <rPr>
        <sz val="11"/>
        <color rgb="FFFF0000"/>
        <rFont val="Calibri"/>
        <family val="2"/>
        <scheme val="minor"/>
      </rPr>
      <t>17 Sets á 18 = 306</t>
    </r>
  </si>
  <si>
    <t>2.3</t>
  </si>
  <si>
    <t>Baumarkt oder evtl. doch über Dienstleister</t>
  </si>
  <si>
    <t>Dienstleister</t>
  </si>
  <si>
    <t>Firma Ulmke</t>
  </si>
  <si>
    <t>AK, 21.10.25</t>
  </si>
  <si>
    <t>https://www.bechtle.com/shop/owl-labs-meeting-owl-3-360-system--4644211--p</t>
  </si>
  <si>
    <t>https://hansrasenmaher.com/product/blyss-kofferanhaenger-146x304cm-hoehe210cm-27tverkaufsklappe-sonderinnenhoehe/</t>
  </si>
  <si>
    <t xml:space="preserve">Stapelstühle &amp; Tische </t>
  </si>
  <si>
    <t>Objektmöbel Laufer</t>
  </si>
  <si>
    <t>Angebotsnr: 22550423</t>
  </si>
  <si>
    <t>Stairville PDC5CC DMX Cable 25,0 m 5 pin</t>
  </si>
  <si>
    <t>Stairville PDC5CC DMX Cable 10,0 m 5 pin</t>
  </si>
  <si>
    <t xml:space="preserve">Stairville PDC5CC DMX Cable 3,0 m 5 pin </t>
  </si>
  <si>
    <t>Showtec SM-8/2 16 Channel Light Desk</t>
  </si>
  <si>
    <t xml:space="preserve">Global Truss F31200-B Truss 2,0m Black </t>
  </si>
  <si>
    <t xml:space="preserve">Duratruss BIG Trigger Clamp 250kg Black </t>
  </si>
  <si>
    <t>Stairville DMX Terminator XLR 5-Pol</t>
  </si>
  <si>
    <t xml:space="preserve">Cameo TS 200 FC LED Theater-Spot </t>
  </si>
  <si>
    <t xml:space="preserve">Varytec PT Link Cable 3x1,5mm² 3,0m </t>
  </si>
  <si>
    <t>Varytec PT Link Cable 3x1,5mm² 10,0m</t>
  </si>
  <si>
    <t xml:space="preserve">LD Systems Stinger 12 G3 </t>
  </si>
  <si>
    <t xml:space="preserve">LD Systems Stinger 15 G3 </t>
  </si>
  <si>
    <t xml:space="preserve">LD Systems Stinger G3 WMB 1 </t>
  </si>
  <si>
    <t xml:space="preserve">the t.amp E-1500 </t>
  </si>
  <si>
    <t>DAP-Audio IMIX-6.2</t>
  </si>
  <si>
    <t>pro snake TPL 20 LL</t>
  </si>
  <si>
    <t>pro snake TPL 5 LL</t>
  </si>
  <si>
    <t>pro snake TPL 15 LL</t>
  </si>
  <si>
    <t xml:space="preserve">pro snake TPM 0,5 </t>
  </si>
  <si>
    <t>LD Systems U518 HHD2</t>
  </si>
  <si>
    <t>Thon Rack 8U Live 50 Wheels</t>
  </si>
  <si>
    <t>Adam Hall 87471 T</t>
  </si>
  <si>
    <t>Thon 8U Live Rack rail</t>
  </si>
  <si>
    <t>Thon Rack Drawer 2U short</t>
  </si>
  <si>
    <t>Deckenbeleuchtung</t>
  </si>
  <si>
    <t>Kamera Panasonic Camcorder 4K (evtl. weglassen, falls Budget überschritten)</t>
  </si>
  <si>
    <t>5.13</t>
  </si>
  <si>
    <t>keiner genannt, Vorschlag von Kappeln würde passen (Kostenaufstellung=5000€; Epson Beamer=4522€ netto) ODER EDV</t>
  </si>
  <si>
    <t>Ubiquiti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</si>
  <si>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</si>
  <si>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</si>
  <si>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</si>
  <si>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</si>
  <si>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</si>
  <si>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</si>
  <si>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</si>
  <si>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</si>
  <si>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</si>
  <si>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Partenheimer Elektrik</t>
  </si>
  <si>
    <t>Samsung A XX</t>
  </si>
  <si>
    <t>Telekom 5G Router</t>
  </si>
  <si>
    <t>iPad 11" WiFi 128GB silber inkl. Hülle (MDM Lizenz)</t>
  </si>
  <si>
    <t>https://www.bavord.de/bierset-220x70cm-premium-mit-armlehne/?gad_source=1&amp;gad_campaignid=22473405259&amp;gclid=CjwKCAjwu9fHBhAWEiwAzGRC__wUL7073MjPNU5mEy9OI9FXpFCXv3W88v0txmQ9YxLQ6CS6eQln0RoCLWAQAvD_BwE</t>
  </si>
  <si>
    <t>gerne mehr, wenn preislich möglich</t>
  </si>
  <si>
    <t>https://www.jacob.de/produkte/Ubiquiti-UniFi-AP-UAP-AC-PRO-artnr-2537393.html?</t>
  </si>
  <si>
    <t>https://www.bueromarkt-ag.de/wlan-router_avm_fritz!box_4690,p-20003082,l-94511215,pd-b2c.html?</t>
  </si>
  <si>
    <t>Leistungsstarker Router für Glasfaser, FRITZ!Box 4690</t>
  </si>
  <si>
    <t>Access Point (Indoor &amp; Outdoor geeignet), Ubiquiti UniFi AP-AC PRO</t>
  </si>
  <si>
    <t>4.17</t>
  </si>
  <si>
    <t>Netzwerk Konfigurationsmöglichkeit:</t>
  </si>
  <si>
    <t>Käfigmutternset</t>
  </si>
  <si>
    <t>https://www.reichelt.de/de/de/shop/produkt/10_wandgehaeuse_9he_tiefe_300mm-248770?nbc=1</t>
  </si>
  <si>
    <t>Netzwerkschrank "10</t>
  </si>
  <si>
    <t>Switch 8-Port</t>
  </si>
  <si>
    <t>https://www.reichelt.de/de/de/shop/produkt/switch_8-port_gigabit_ethernet_poe-223535?nbc=1</t>
  </si>
  <si>
    <t>https://www.reichelt.de/de/de/shop/produkt/steckdosenleiste_10_1he_4-fach-287611?nbc=1</t>
  </si>
  <si>
    <t>https://www.reichelt.de/de/de/shop/produkt/3_m_cat_6_pimf-patchkabel_gelb-63239?nbc=1</t>
  </si>
  <si>
    <t>https://www.reichelt.de/de/de/shop/produkt/0_5_m_cat_6_pimf-patchkabel_gelb-63236?nbc=1</t>
  </si>
  <si>
    <t>https://www.reichelt.de/de/de/shop/produkt/10_fachboden_einbautiefe_160_mm_tiefschwarz-248797?nbc=1</t>
  </si>
  <si>
    <t>https://www.reichelt.de/de/de/shop/produkt/kaefigmutternset_m5_50_stueck-374184?nbc=1</t>
  </si>
  <si>
    <t>LogiLink</t>
  </si>
  <si>
    <t>GoodConnections</t>
  </si>
  <si>
    <t>equip</t>
  </si>
  <si>
    <t>Netgear</t>
  </si>
  <si>
    <t>Steckdosenleiste 10“ 4-Fach</t>
  </si>
  <si>
    <t>3m Patchkabel Cat.6 (10x)</t>
  </si>
  <si>
    <t>0,5m Patchkabel Cat.6 (10x)</t>
  </si>
  <si>
    <t>Fachboden 10“ (3x)</t>
  </si>
  <si>
    <t>Stehtische rund</t>
  </si>
  <si>
    <t>https://www.biertischgarnituren-shop.de/produkt/stehtisch-atlas/</t>
  </si>
  <si>
    <t>4.18</t>
  </si>
  <si>
    <t>Powerlock</t>
  </si>
  <si>
    <t>Diebstahlsicherung Anhänger Kupplungsschloss</t>
  </si>
  <si>
    <t>https://masta.nl/de/powerlock-t1-scm-anhangerkupplungsschloss-taschenmodell.html?gad_source=1&amp;gad_campaignid=22582361463&amp;gclid=CjwKCAjwu9fHBhAWEiwAzGRC__Ly6tM4sYwgRcY5Ni0wy50WA5rpKTNSBgYb4At6xX0r5-e84HPJRBoCO9YQAvD_BwE</t>
  </si>
  <si>
    <t xml:space="preserve">Oloaxolx </t>
  </si>
  <si>
    <t>https://www.amazon.de/wiederaufladbarem-Flightcase-Scheinwerfer-Fernbedienung-Wiederaufladbar/dp/B0F1F77V81?source=ps-sl-shoppingads-lpcontext&amp;ref_=fplfs&amp;smid=A1G9VTFD27IMKC&amp;th=1</t>
  </si>
  <si>
    <t>Toolport</t>
  </si>
  <si>
    <t>Gewichtsplatten für Faltpavillons 4 Stk. À 6 kg (davon 8 Stück)</t>
  </si>
  <si>
    <t>Profizelt24</t>
  </si>
  <si>
    <t>https://www.profizelt24.de/faltpavillon/zubehoer/sicherung/578713.html</t>
  </si>
  <si>
    <t>https://www.profizelt24.de/faltpavillon/zubehoer/sicherung/130647.html</t>
  </si>
  <si>
    <t>https://www.profizelt24.de/faltpavillon/59060.html?gad_source=1&amp;gad_campaignid=20929544315&amp;gclid=CjwKCAjwu9fHBhAWEiwAzGRC_w7xIv4dZJ4f5LVMuSuz8UAORM4o0q7G6ZbVIHunDn61CkhoQfHRBxoChPcQAvD_BwE</t>
  </si>
  <si>
    <t>https://www.metro.de/marktplatz/product/548303ab-7d67-4718-8b96-1e48a1a3b83b</t>
  </si>
  <si>
    <t>Sonnenschirm in grün rot oder orange mit Ständer</t>
  </si>
  <si>
    <t>Gewicht für Sonnenschirmständer</t>
  </si>
  <si>
    <t>https://www.metro.de/marktplatz/product/5ddc5b21-7f0a-4fba-8c47-b94b8b4e2179?fromSimilarProducts=1</t>
  </si>
  <si>
    <t>Wandabstandshalter für Roll-Leinwand</t>
  </si>
  <si>
    <t>https://www.bueromarkt-ag.de/beamer-leinwand_celexon_rollo_professional_plus,p-1090784.html</t>
  </si>
  <si>
    <t>Roll-Leinwand Celexon Professional 118 Zoll, 240 x 180 cm, Format 4:3, für kleineren Raum (Versammlungssaal im 1. OG)</t>
  </si>
  <si>
    <t>Wandabstand wählbar: 20, 50, 70 cm</t>
  </si>
  <si>
    <t>https://www.bueromarkt-ag.de/wandabstandshalterung_celexon_1090414_set_mit_2_stueck,p-1090414.html</t>
  </si>
  <si>
    <t>https://www.bueromarkt-ag.de/beamer_acer_h6805bda_mr.jtb11.00s_4k_uhd,p-h6805bda.html</t>
  </si>
  <si>
    <t>5000€ Beamer wäre möglich</t>
  </si>
  <si>
    <t xml:space="preserve">Dell Pro 16Plus </t>
  </si>
  <si>
    <t>EDV</t>
  </si>
  <si>
    <t>Auftrag 21.10.2025</t>
  </si>
  <si>
    <t>Soll</t>
  </si>
  <si>
    <t>Gesamt/Soll</t>
  </si>
  <si>
    <t>Dell</t>
  </si>
  <si>
    <t>seniorengerecht; iPad 11" WiFi 128GB silber inkl. Hülle (MDM Lizenz)</t>
  </si>
  <si>
    <t xml:space="preserve">Dell Pro </t>
  </si>
  <si>
    <t>Leinwand (mobiles kino)</t>
  </si>
  <si>
    <t>Beamer für großen Raum, mind. 5.000 Lumen</t>
  </si>
  <si>
    <t>EDV Rahmenvertrag (ähnliches Gerät)</t>
  </si>
  <si>
    <t>EDV (Preis klären)</t>
  </si>
  <si>
    <t>75 Zoll Bildschirm und Wagen</t>
  </si>
  <si>
    <t>Dienstleistung/ Beleuchtung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</si>
</sst>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#,##0.00\ &quot;€&quot;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3CBFB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5">
    <xf numFmtId="0" fontId="0" fillId="0" borderId="0" xfId="0"/>
    <xf numFmtId="0" fontId="0" fillId="0" borderId="2" xfId="0" applyBorder="1"/>
    <xf numFmtId="164" fontId="0" fillId="0" borderId="2" xfId="0" applyNumberFormat="1" applyBorder="1"/>
    <xf numFmtId="164" fontId="0" fillId="0" borderId="0" xfId="0" applyNumberFormat="1"/>
    <xf numFmtId="0" fontId="1" fillId="2" borderId="1" xfId="0" applyFont="1" applyFill="1" applyBorder="1"/>
    <xf numFmtId="0" fontId="1" fillId="2" borderId="3" xfId="0" applyFont="1" applyFill="1" applyBorder="1"/>
    <xf numFmtId="0" fontId="0" fillId="0" borderId="0" xfId="0" applyBorder="1"/>
    <xf numFmtId="164" fontId="0" fillId="0" borderId="0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164" fontId="0" fillId="0" borderId="0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2" fillId="0" borderId="0" xfId="1" applyAlignment="1">
      <alignment horizontal="left" vertical="top"/>
    </xf>
    <xf numFmtId="0" fontId="0" fillId="0" borderId="2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/>
    </xf>
    <xf numFmtId="164" fontId="0" fillId="3" borderId="4" xfId="0" applyNumberFormat="1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164" fontId="0" fillId="0" borderId="2" xfId="0" applyNumberFormat="1" applyFill="1" applyBorder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2" fillId="0" borderId="0" xfId="1" applyFill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2" fillId="0" borderId="0" xfId="1" applyBorder="1" applyAlignment="1">
      <alignment horizontal="left" vertical="top"/>
    </xf>
    <xf numFmtId="0" fontId="0" fillId="3" borderId="7" xfId="0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/>
    </xf>
    <xf numFmtId="0" fontId="0" fillId="3" borderId="8" xfId="0" applyFill="1" applyBorder="1" applyAlignment="1">
      <alignment horizontal="left" vertical="top" wrapText="1"/>
    </xf>
    <xf numFmtId="0" fontId="2" fillId="3" borderId="8" xfId="1" applyFill="1" applyBorder="1" applyAlignment="1">
      <alignment horizontal="left" vertical="top"/>
    </xf>
    <xf numFmtId="164" fontId="0" fillId="3" borderId="9" xfId="0" applyNumberFormat="1" applyFill="1" applyBorder="1" applyAlignment="1">
      <alignment horizontal="left" vertical="top"/>
    </xf>
    <xf numFmtId="164" fontId="0" fillId="3" borderId="8" xfId="0" applyNumberFormat="1" applyFill="1" applyBorder="1" applyAlignment="1">
      <alignment horizontal="left" vertical="top"/>
    </xf>
    <xf numFmtId="164" fontId="1" fillId="3" borderId="9" xfId="0" applyNumberFormat="1" applyFont="1" applyFill="1" applyBorder="1" applyAlignment="1">
      <alignment horizontal="left" vertical="top"/>
    </xf>
    <xf numFmtId="164" fontId="1" fillId="3" borderId="10" xfId="0" applyNumberFormat="1" applyFont="1" applyFill="1" applyBorder="1" applyAlignment="1">
      <alignment horizontal="left" vertical="top"/>
    </xf>
    <xf numFmtId="164" fontId="0" fillId="0" borderId="0" xfId="0" applyNumberFormat="1" applyFill="1" applyBorder="1" applyAlignment="1">
      <alignment horizontal="left" vertical="top"/>
    </xf>
    <xf numFmtId="0" fontId="2" fillId="0" borderId="0" xfId="1" applyFill="1" applyAlignment="1">
      <alignment horizontal="left" vertical="top" wrapText="1"/>
    </xf>
    <xf numFmtId="0" fontId="2" fillId="0" borderId="4" xfId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64" fontId="0" fillId="0" borderId="6" xfId="0" applyNumberFormat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2" fillId="0" borderId="1" xfId="1" applyFill="1" applyBorder="1" applyAlignment="1">
      <alignment horizontal="left" vertical="top"/>
    </xf>
    <xf numFmtId="164" fontId="0" fillId="0" borderId="3" xfId="0" applyNumberFormat="1" applyFill="1" applyBorder="1" applyAlignment="1">
      <alignment horizontal="left" vertical="top"/>
    </xf>
    <xf numFmtId="164" fontId="0" fillId="0" borderId="1" xfId="0" applyNumberFormat="1" applyFill="1" applyBorder="1" applyAlignment="1">
      <alignment horizontal="left" vertical="top"/>
    </xf>
    <xf numFmtId="164" fontId="1" fillId="0" borderId="3" xfId="0" applyNumberFormat="1" applyFont="1" applyFill="1" applyBorder="1" applyAlignment="1">
      <alignment horizontal="left" vertical="top"/>
    </xf>
    <xf numFmtId="164" fontId="1" fillId="0" borderId="1" xfId="0" applyNumberFormat="1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164" fontId="7" fillId="4" borderId="0" xfId="0" applyNumberFormat="1" applyFont="1" applyFill="1" applyAlignment="1">
      <alignment horizontal="left" vertical="top"/>
    </xf>
    <xf numFmtId="0" fontId="7" fillId="4" borderId="2" xfId="0" applyFont="1" applyFill="1" applyBorder="1" applyAlignment="1">
      <alignment vertical="top"/>
    </xf>
    <xf numFmtId="0" fontId="7" fillId="4" borderId="4" xfId="0" applyFont="1" applyFill="1" applyBorder="1" applyAlignment="1">
      <alignment vertical="top"/>
    </xf>
    <xf numFmtId="0" fontId="0" fillId="0" borderId="0" xfId="0" applyFill="1" applyAlignment="1"/>
    <xf numFmtId="0" fontId="0" fillId="0" borderId="11" xfId="0" applyBorder="1"/>
    <xf numFmtId="0" fontId="1" fillId="2" borderId="0" xfId="0" applyFont="1" applyFill="1" applyBorder="1" applyAlignment="1">
      <alignment horizontal="left" vertical="top"/>
    </xf>
    <xf numFmtId="0" fontId="1" fillId="2" borderId="12" xfId="0" applyFont="1" applyFill="1" applyBorder="1"/>
    <xf numFmtId="0" fontId="0" fillId="0" borderId="12" xfId="0" applyBorder="1"/>
    <xf numFmtId="0" fontId="0" fillId="0" borderId="12" xfId="0" applyFill="1" applyBorder="1"/>
    <xf numFmtId="0" fontId="0" fillId="0" borderId="12" xfId="0" applyFill="1" applyBorder="1" applyAlignment="1">
      <alignment wrapText="1"/>
    </xf>
    <xf numFmtId="0" fontId="3" fillId="0" borderId="12" xfId="0" applyFont="1" applyBorder="1"/>
    <xf numFmtId="0" fontId="2" fillId="0" borderId="12" xfId="1" applyBorder="1"/>
    <xf numFmtId="164" fontId="0" fillId="0" borderId="12" xfId="0" applyNumberFormat="1" applyBorder="1"/>
    <xf numFmtId="0" fontId="0" fillId="0" borderId="12" xfId="0" applyBorder="1" applyAlignment="1">
      <alignment wrapText="1"/>
    </xf>
    <xf numFmtId="0" fontId="3" fillId="0" borderId="12" xfId="0" applyFont="1" applyFill="1" applyBorder="1"/>
    <xf numFmtId="0" fontId="1" fillId="2" borderId="12" xfId="0" applyFont="1" applyFill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2" fillId="0" borderId="12" xfId="1" applyBorder="1" applyAlignment="1">
      <alignment horizontal="left" vertical="top"/>
    </xf>
    <xf numFmtId="164" fontId="0" fillId="0" borderId="12" xfId="0" applyNumberFormat="1" applyBorder="1" applyAlignment="1">
      <alignment horizontal="left" vertical="top"/>
    </xf>
    <xf numFmtId="0" fontId="3" fillId="3" borderId="12" xfId="0" applyFont="1" applyFill="1" applyBorder="1" applyAlignment="1">
      <alignment horizontal="left" vertical="top" wrapText="1"/>
    </xf>
    <xf numFmtId="0" fontId="2" fillId="0" borderId="12" xfId="1" applyBorder="1" applyAlignment="1">
      <alignment horizontal="left" vertical="top" wrapText="1"/>
    </xf>
    <xf numFmtId="164" fontId="0" fillId="3" borderId="12" xfId="0" applyNumberFormat="1" applyFill="1" applyBorder="1" applyAlignment="1">
      <alignment horizontal="left" vertical="top"/>
    </xf>
    <xf numFmtId="0" fontId="0" fillId="3" borderId="12" xfId="0" applyFill="1" applyBorder="1" applyAlignment="1">
      <alignment horizontal="left" vertical="top"/>
    </xf>
    <xf numFmtId="49" fontId="0" fillId="0" borderId="12" xfId="0" applyNumberFormat="1" applyBorder="1"/>
    <xf numFmtId="164" fontId="7" fillId="6" borderId="12" xfId="0" applyNumberFormat="1" applyFont="1" applyFill="1" applyBorder="1"/>
    <xf numFmtId="49" fontId="1" fillId="2" borderId="12" xfId="0" applyNumberFormat="1" applyFont="1" applyFill="1" applyBorder="1" applyAlignment="1">
      <alignment horizontal="left" vertical="top"/>
    </xf>
    <xf numFmtId="164" fontId="1" fillId="2" borderId="12" xfId="0" applyNumberFormat="1" applyFont="1" applyFill="1" applyBorder="1" applyAlignment="1">
      <alignment horizontal="left" vertical="top"/>
    </xf>
    <xf numFmtId="164" fontId="0" fillId="6" borderId="12" xfId="0" applyNumberFormat="1" applyFill="1" applyBorder="1"/>
    <xf numFmtId="164" fontId="0" fillId="5" borderId="12" xfId="0" applyNumberFormat="1" applyFill="1" applyBorder="1"/>
    <xf numFmtId="0" fontId="0" fillId="0" borderId="12" xfId="0" applyFill="1" applyBorder="1" applyAlignment="1"/>
    <xf numFmtId="0" fontId="1" fillId="0" borderId="12" xfId="0" applyFont="1" applyBorder="1"/>
    <xf numFmtId="0" fontId="0" fillId="3" borderId="12" xfId="0" applyFill="1" applyBorder="1"/>
    <xf numFmtId="164" fontId="0" fillId="7" borderId="12" xfId="0" applyNumberFormat="1" applyFill="1" applyBorder="1"/>
    <xf numFmtId="164" fontId="7" fillId="4" borderId="12" xfId="0" applyNumberFormat="1" applyFont="1" applyFill="1" applyBorder="1"/>
    <xf numFmtId="164" fontId="7" fillId="0" borderId="12" xfId="0" applyNumberFormat="1" applyFont="1" applyFill="1" applyBorder="1"/>
    <xf numFmtId="6" fontId="0" fillId="0" borderId="12" xfId="0" applyNumberFormat="1" applyBorder="1"/>
    <xf numFmtId="0" fontId="0" fillId="0" borderId="12" xfId="0" applyNumberFormat="1" applyBorder="1"/>
    <xf numFmtId="164" fontId="0" fillId="3" borderId="12" xfId="0" applyNumberFormat="1" applyFill="1" applyBorder="1"/>
    <xf numFmtId="164" fontId="8" fillId="7" borderId="12" xfId="0" applyNumberFormat="1" applyFont="1" applyFill="1" applyBorder="1"/>
    <xf numFmtId="164" fontId="0" fillId="8" borderId="12" xfId="0" applyNumberFormat="1" applyFill="1" applyBorder="1"/>
    <xf numFmtId="0" fontId="1" fillId="7" borderId="12" xfId="0" applyFont="1" applyFill="1" applyBorder="1"/>
    <xf numFmtId="0" fontId="0" fillId="7" borderId="12" xfId="0" applyFill="1" applyBorder="1"/>
    <xf numFmtId="0" fontId="0" fillId="0" borderId="12" xfId="0" applyBorder="1" applyAlignment="1">
      <alignment vertical="top"/>
    </xf>
    <xf numFmtId="0" fontId="0" fillId="0" borderId="12" xfId="0" applyBorder="1" applyAlignment="1">
      <alignment vertical="top" wrapText="1"/>
    </xf>
    <xf numFmtId="164" fontId="0" fillId="0" borderId="12" xfId="0" applyNumberFormat="1" applyBorder="1" applyAlignment="1">
      <alignment vertical="top"/>
    </xf>
    <xf numFmtId="0" fontId="0" fillId="0" borderId="12" xfId="0" applyBorder="1" applyAlignment="1">
      <alignment horizontal="right" vertical="top"/>
    </xf>
    <xf numFmtId="0" fontId="0" fillId="0" borderId="12" xfId="0" applyBorder="1" applyAlignment="1">
      <alignment horizontal="right" vertical="top" wrapText="1"/>
    </xf>
    <xf numFmtId="164" fontId="0" fillId="0" borderId="12" xfId="0" applyNumberFormat="1" applyBorder="1" applyAlignment="1">
      <alignment horizontal="right" vertical="top"/>
    </xf>
    <xf numFmtId="0" fontId="7" fillId="4" borderId="0" xfId="0" applyFont="1" applyFill="1" applyBorder="1" applyAlignment="1">
      <alignment vertical="top"/>
    </xf>
    <xf numFmtId="0" fontId="3" fillId="3" borderId="2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/>
    </xf>
    <xf numFmtId="0" fontId="0" fillId="8" borderId="12" xfId="0" applyFill="1" applyBorder="1"/>
    <xf numFmtId="0" fontId="0" fillId="4" borderId="12" xfId="0" applyFill="1" applyBorder="1"/>
    <xf numFmtId="164" fontId="0" fillId="4" borderId="12" xfId="0" applyNumberFormat="1" applyFill="1" applyBorder="1"/>
    <xf numFmtId="0" fontId="0" fillId="4" borderId="0" xfId="0" applyFill="1"/>
    <xf numFmtId="0" fontId="0" fillId="4" borderId="12" xfId="0" applyFill="1" applyBorder="1" applyAlignment="1"/>
    <xf numFmtId="0" fontId="0" fillId="0" borderId="12" xfId="0" applyFont="1" applyBorder="1"/>
    <xf numFmtId="164" fontId="3" fillId="0" borderId="12" xfId="0" applyNumberFormat="1" applyFont="1" applyBorder="1"/>
    <xf numFmtId="164" fontId="9" fillId="0" borderId="12" xfId="0" applyNumberFormat="1" applyFont="1" applyBorder="1" applyAlignment="1">
      <alignment vertical="center"/>
    </xf>
    <xf numFmtId="164" fontId="0" fillId="0" borderId="12" xfId="0" applyNumberFormat="1" applyBorder="1" applyAlignment="1"/>
    <xf numFmtId="0" fontId="8" fillId="8" borderId="12" xfId="1" applyFont="1" applyFill="1" applyBorder="1" applyAlignment="1">
      <alignment vertical="center"/>
    </xf>
    <xf numFmtId="2" fontId="0" fillId="0" borderId="12" xfId="0" applyNumberFormat="1" applyBorder="1"/>
    <xf numFmtId="2" fontId="1" fillId="2" borderId="12" xfId="0" applyNumberFormat="1" applyFont="1" applyFill="1" applyBorder="1" applyAlignment="1">
      <alignment horizontal="left" vertical="top"/>
    </xf>
    <xf numFmtId="2" fontId="0" fillId="4" borderId="12" xfId="0" applyNumberFormat="1" applyFill="1" applyBorder="1"/>
    <xf numFmtId="2" fontId="0" fillId="0" borderId="4" xfId="0" applyNumberFormat="1" applyBorder="1"/>
    <xf numFmtId="11" fontId="0" fillId="0" borderId="12" xfId="0" applyNumberFormat="1" applyBorder="1"/>
    <xf numFmtId="164" fontId="8" fillId="8" borderId="12" xfId="0" applyNumberFormat="1" applyFont="1" applyFill="1" applyBorder="1"/>
    <xf numFmtId="164" fontId="0" fillId="0" borderId="12" xfId="0" applyNumberFormat="1" applyFill="1" applyBorder="1"/>
    <xf numFmtId="164" fontId="3" fillId="0" borderId="12" xfId="0" applyNumberFormat="1" applyFont="1" applyFill="1" applyBorder="1"/>
    <xf numFmtId="0" fontId="0" fillId="0" borderId="12" xfId="0" applyFont="1" applyFill="1" applyBorder="1"/>
    <xf numFmtId="0" fontId="0" fillId="4" borderId="12" xfId="0" applyNumberFormat="1" applyFill="1" applyBorder="1"/>
    <xf numFmtId="0" fontId="1" fillId="0" borderId="0" xfId="0" applyFont="1" applyFill="1" applyBorder="1" applyAlignment="1">
      <alignment horizontal="left" vertical="top"/>
    </xf>
    <xf numFmtId="0" fontId="0" fillId="0" borderId="0" xfId="0" applyFill="1"/>
    <xf numFmtId="49" fontId="0" fillId="0" borderId="0" xfId="0" applyNumberFormat="1" applyFill="1"/>
    <xf numFmtId="2" fontId="0" fillId="0" borderId="12" xfId="0" applyNumberFormat="1" applyFill="1" applyBorder="1"/>
    <xf numFmtId="0" fontId="0" fillId="0" borderId="11" xfId="0" applyFill="1" applyBorder="1"/>
    <xf numFmtId="0" fontId="1" fillId="0" borderId="12" xfId="0" applyFont="1" applyFill="1" applyBorder="1"/>
    <xf numFmtId="164" fontId="8" fillId="0" borderId="12" xfId="0" applyNumberFormat="1" applyFont="1" applyFill="1" applyBorder="1"/>
    <xf numFmtId="164" fontId="1" fillId="0" borderId="12" xfId="0" applyNumberFormat="1" applyFont="1" applyBorder="1"/>
    <xf numFmtId="0" fontId="0" fillId="10" borderId="12" xfId="0" applyFill="1" applyBorder="1"/>
    <xf numFmtId="0" fontId="0" fillId="11" borderId="12" xfId="0" applyFill="1" applyBorder="1"/>
    <xf numFmtId="2" fontId="10" fillId="9" borderId="12" xfId="0" applyNumberFormat="1" applyFont="1" applyFill="1" applyBorder="1"/>
    <xf numFmtId="0" fontId="0" fillId="12" borderId="12" xfId="0" applyFill="1" applyBorder="1" applyAlignment="1">
      <alignment horizontal="left" vertical="top"/>
    </xf>
    <xf numFmtId="0" fontId="0" fillId="10" borderId="12" xfId="0" applyFill="1" applyBorder="1" applyAlignment="1">
      <alignment horizontal="left" vertical="top"/>
    </xf>
    <xf numFmtId="0" fontId="0" fillId="10" borderId="12" xfId="0" applyFill="1" applyBorder="1" applyAlignment="1">
      <alignment horizontal="left" vertical="top" wrapText="1"/>
    </xf>
    <xf numFmtId="0" fontId="2" fillId="10" borderId="12" xfId="1" applyFill="1" applyBorder="1" applyAlignment="1">
      <alignment horizontal="left" vertical="top" wrapText="1"/>
    </xf>
    <xf numFmtId="164" fontId="0" fillId="10" borderId="12" xfId="0" applyNumberFormat="1" applyFill="1" applyBorder="1" applyAlignment="1">
      <alignment horizontal="left" vertical="top"/>
    </xf>
    <xf numFmtId="0" fontId="0" fillId="10" borderId="0" xfId="0" applyFill="1" applyAlignment="1">
      <alignment horizontal="left" vertical="top"/>
    </xf>
    <xf numFmtId="0" fontId="0" fillId="12" borderId="12" xfId="0" applyFill="1" applyBorder="1"/>
    <xf numFmtId="0" fontId="10" fillId="9" borderId="12" xfId="0" applyFont="1" applyFill="1" applyBorder="1"/>
    <xf numFmtId="164" fontId="0" fillId="0" borderId="12" xfId="0" applyNumberFormat="1" applyBorder="1" applyAlignment="1">
      <alignment horizontal="left" wrapText="1"/>
    </xf>
    <xf numFmtId="0" fontId="1" fillId="2" borderId="12" xfId="0" applyFont="1" applyFill="1" applyBorder="1" applyAlignment="1">
      <alignment horizontal="left" vertical="top" wrapText="1"/>
    </xf>
    <xf numFmtId="0" fontId="2" fillId="0" borderId="12" xfId="1" applyBorder="1" applyAlignment="1">
      <alignment horizontal="left" wrapText="1"/>
    </xf>
    <xf numFmtId="0" fontId="2" fillId="4" borderId="12" xfId="1" applyFill="1" applyBorder="1" applyAlignment="1">
      <alignment horizontal="left" wrapText="1"/>
    </xf>
    <xf numFmtId="2" fontId="0" fillId="4" borderId="12" xfId="0" applyNumberFormat="1" applyFill="1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2" fillId="0" borderId="12" xfId="1" applyFill="1" applyBorder="1" applyAlignment="1">
      <alignment horizontal="left" wrapText="1"/>
    </xf>
    <xf numFmtId="0" fontId="2" fillId="0" borderId="12" xfId="1" applyBorder="1" applyAlignment="1">
      <alignment wrapText="1"/>
    </xf>
    <xf numFmtId="0" fontId="2" fillId="3" borderId="12" xfId="1" applyFill="1" applyBorder="1" applyAlignment="1">
      <alignment wrapText="1"/>
    </xf>
    <xf numFmtId="0" fontId="2" fillId="0" borderId="0" xfId="1" applyAlignment="1">
      <alignment horizontal="left" wrapText="1"/>
    </xf>
    <xf numFmtId="0" fontId="2" fillId="3" borderId="12" xfId="1" applyFill="1" applyBorder="1" applyAlignment="1">
      <alignment horizontal="left" wrapText="1"/>
    </xf>
    <xf numFmtId="0" fontId="8" fillId="8" borderId="12" xfId="1" applyFont="1" applyFill="1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2">
    <cellStyle name="Link" xfId="1" builtinId="8"/>
    <cellStyle name="Standard" xfId="0" builtinId="0"/>
  </cellStyles>
  <dxfs count="24"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rgb="FF032799"/>
      </font>
      <fill>
        <patternFill>
          <bgColor theme="8" tint="0.59996337778862885"/>
        </patternFill>
      </fill>
    </dxf>
    <dxf>
      <font>
        <color rgb="FF032799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color theme="5" tint="-0.24994659260841701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030A0"/>
      </font>
      <fill>
        <patternFill>
          <bgColor rgb="FFE3CBFB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A84E10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E3CBFB"/>
      <color rgb="FFBC5610"/>
      <color rgb="FF95440D"/>
      <color rgb="FFA84E10"/>
      <color rgb="FF0327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iggastro.com/Gastro-Kuehlvitrine-255-l-125-cm-mit-Staender?gad_source=1&amp;gad_campaignid=19185735074&amp;gbraid=0AAAAAo1qPo48G7WAK7IfPCH9UEBCtCZ67&amp;gclid=EAIaIQobChMIroamp5SZkAMVa6iDBx2OejubEAQYAyABEgIxg_D_BwE" TargetMode="External"/><Relationship Id="rId13" Type="http://schemas.openxmlformats.org/officeDocument/2006/relationships/hyperlink" Target="https://www.visunext.de/p/celexon-1000008115-leinwand-1000008115/?_gl=1*1bafpsc*_up*MQ..*_gs*MQ..&amp;gclid=EAIaIQobChMI4c2Z16GZkAMVNdJEBx1Fcjs_EAAYASAAEgKQyfD_BwE&amp;gbraid=0AAAAAD_aOv12W56ANdbj5XCp78Gmy8HqL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lusini.com/de-de/pdp/124351/" TargetMode="External"/><Relationship Id="rId7" Type="http://schemas.openxmlformats.org/officeDocument/2006/relationships/hyperlink" Target="https://www.gastrodiscount.info/Ausgabetheke-mit-Edelstahloberflaeche-glatt-15m-07m-Edelstahlunterfuetterung-Weiss" TargetMode="External"/><Relationship Id="rId12" Type="http://schemas.openxmlformats.org/officeDocument/2006/relationships/hyperlink" Target="https://www.visunext.de/p/viewsonic-ifp5550-5-touch-display-1000027556/?_gl=1*wn675w*_up*MQ..*_gs*MQ..&amp;gclid=EAIaIQobChMI4IeZ_ZuZkAMV4JCDBx13shDrEAMYASAAEgLYV_D_BwE&amp;gbraid=0AAAAAD_aOv1Z30PK9sw0FVE6n9CwzFqcj" TargetMode="External"/><Relationship Id="rId17" Type="http://schemas.openxmlformats.org/officeDocument/2006/relationships/hyperlink" Target="https://www.lusini.com/de-de/pdp/124347/" TargetMode="External"/><Relationship Id="rId2" Type="http://schemas.openxmlformats.org/officeDocument/2006/relationships/hyperlink" Target="https://www.lusini.com/de-de/pdp/124346/" TargetMode="External"/><Relationship Id="rId16" Type="http://schemas.openxmlformats.org/officeDocument/2006/relationships/hyperlink" Target="https://www.lusini.com/de-de/pdp/110283/" TargetMode="External"/><Relationship Id="rId1" Type="http://schemas.openxmlformats.org/officeDocument/2006/relationships/hyperlink" Target="https://www.lusini.com/de-de/pdp/110284/" TargetMode="External"/><Relationship Id="rId6" Type="http://schemas.openxmlformats.org/officeDocument/2006/relationships/hyperlink" Target="https://www.lusini.com/de-de/pdp/167667/" TargetMode="External"/><Relationship Id="rId11" Type="http://schemas.openxmlformats.org/officeDocument/2006/relationships/hyperlink" Target="https://www.amazon.de/dp/B000B7BRDQ/?smid=A2A82HBBRURJ5I&amp;tag=idealode-mp-pk-21&amp;linkCode=asn&amp;creative=6742&amp;camp=1638&amp;creativeASIN=B000B7BRDQ&amp;ascsubtag=2025-10-10_261dfa115ccc37110f638cad888c27277ee9748e1d0bd85384c1cc0c3e5fa9e8&amp;th=1&amp;psc=1" TargetMode="External"/><Relationship Id="rId5" Type="http://schemas.openxmlformats.org/officeDocument/2006/relationships/hyperlink" Target="https://www.lusini.com/de-de/pdp/124349/" TargetMode="External"/><Relationship Id="rId15" Type="http://schemas.openxmlformats.org/officeDocument/2006/relationships/hyperlink" Target="https://www.bueromarkt-ag.de/moderationskoffer_franken_umkr_trainer,p-umkr,l-94511215,pd-b2c.html?vpid=eeb8de5e08c8d03cdbc4e8e1c7d5075a" TargetMode="External"/><Relationship Id="rId10" Type="http://schemas.openxmlformats.org/officeDocument/2006/relationships/hyperlink" Target="https://www.vispronet.de/sonnenschirme-sichtschutz/grossschirme-basic-mit-seilzug-3-4-m/werbeschirme-sonnenschirme/?200=2859&amp;183=1&amp;182=193&amp;525=1&amp;649=0&amp;653=0&amp;657=0&amp;661=0&amp;744=0&amp;754=0&amp;764=0&amp;774=0&amp;784=0&amp;794=0&amp;804=0&amp;814=0&amp;824=0&amp;834=0&amp;f=2647&amp;ef=669&amp;utm_term=&amp;device=c&amp;matchtype=&amp;gclid=EAIaIQobChMIl_iawZWZkAMVrJWDBx0SExvoEAQYAiABEgLgV_D_BwE&amp;utm_source=google&amp;utm_medium=cpc&amp;utm_campaign=Shopping_DE&amp;gad_source=1&amp;gad_campaignid=21854090040&amp;gbraid=0AAAAADjEoE2zSR1-OLvIGiZsyBrwaNquq" TargetMode="External"/><Relationship Id="rId4" Type="http://schemas.openxmlformats.org/officeDocument/2006/relationships/hyperlink" Target="https://www.lusini.com/de-de/pdp/124348/" TargetMode="External"/><Relationship Id="rId9" Type="http://schemas.openxmlformats.org/officeDocument/2006/relationships/hyperlink" Target="https://www.lusini.com/de-de/pdp/157336/" TargetMode="External"/><Relationship Id="rId14" Type="http://schemas.openxmlformats.org/officeDocument/2006/relationships/hyperlink" Target="https://www.mediamarkt.de/de/product/_acer-vero-pl3512atv-laser-beamerfull-hd-5000-ansi-lumen-2930477.html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otto-office.com/de/Brother-P-touch-P700-Beschriftungsgeraet/90217/p?source=suggest&amp;suggesttype=product" TargetMode="External"/><Relationship Id="rId21" Type="http://schemas.openxmlformats.org/officeDocument/2006/relationships/hyperlink" Target="https://www.otto-office.com/de/Kerkmann-Vitrine-expoline-85-cm-breit/57740/p?wkid=OO-4-DEoCX8aZbIVT9PpwAj" TargetMode="External"/><Relationship Id="rId34" Type="http://schemas.openxmlformats.org/officeDocument/2006/relationships/hyperlink" Target="https://www.bueromarkt-ag.de/schmutzfangmatte_floordirekt_everest_sky,p-fd-564.html" TargetMode="External"/><Relationship Id="rId42" Type="http://schemas.openxmlformats.org/officeDocument/2006/relationships/hyperlink" Target="https://www.amazon.de/Fellowes-ImageLast-Laminierfolien-Mikron-100er/dp/B000NJUWM4/ref=sr_1_9?__mk_de_DE=%C3%85M%C3%85%C5%BD%C3%95%C3%91&amp;crid=3GI9IKHNQWLJ5&amp;dib=eyJ2IjoiMSJ9.hVkxiByf3ZYC-Vwwds4wjNN2A9Cszg3gMSgIb2OURsDvZ74twlGm6AdEOj9LZgegE4ESSPcjuASQu0MNAmKeq2mBsf1YihOHDgi002BEJu_NSWcmsYTXL3JVla_yCf8P0H3W6uCvkwX9mcMGSRvYHGV9U7rj5HyM8uFHPFKsczYALtUDe78BTqS2dGmKzFNLCFim_cX3lwmiE6HR4ZZ9MY1nWHX_3khUCWAOA5anX0S4yXKDI2jQHEl9LIS-pCkbNngDRZj1CP5kKCLIskb5CX4Iuw4o8U7QrcJ975QUeRw.j4avS3Powpwy8BWWl9MDxRZAOOZqiCWchBnijrERJZA&amp;dib_tag=se&amp;keywords=laminierfolie%2BA3&amp;qid=1760084660&amp;sprefix=laminierfolie%2Ba3%2Caps%2C82&amp;sr=8-9&amp;th=1" TargetMode="External"/><Relationship Id="rId47" Type="http://schemas.openxmlformats.org/officeDocument/2006/relationships/hyperlink" Target="https://stiers.de/produkt/smart-home-deckeneinbauleinwand-300-x-169-cm-ultra-white-projektionsflaeche-16-9-elektrisch-b1/" TargetMode="External"/><Relationship Id="rId50" Type="http://schemas.openxmlformats.org/officeDocument/2006/relationships/hyperlink" Target="https://www.metro.de/marktplatz/product/f7b2c4e6-e772-456f-bea5-d71286387ad6?mfeed_oid=59cd58f1-1ff3-4f40-bb2f-82f17a4909de&amp;mfeed_bm=1&amp;utm_source=google&amp;utm_medium=cpc&amp;utm_campaign=de_mm_ag_shopping_all_standard_all_b2c_feed_brand&amp;gad_source=1&amp;gad_campaignid=22549537188&amp;gbraid=0AAAAACqaXxZ3ZlsSpDszjkkHtVxzVBwAt&amp;gclid=EAIaIQobChMIxMWevLOokAMVuICDBx1LbBZ1EAQYASABEgLxt_D_BwE" TargetMode="External"/><Relationship Id="rId55" Type="http://schemas.openxmlformats.org/officeDocument/2006/relationships/hyperlink" Target="https://www.otto.de/p/steelboxx-drehstuhl-buerodrehstuhl-bandscheiben-schreibtischstuhl-drehstuhl-buerostuhl-1-sitz-und-rueckenflaechen-sind-ergonomisch-geformt-S0G1S0A8/?variationId=S0G1S0A82NF2" TargetMode="External"/><Relationship Id="rId63" Type="http://schemas.openxmlformats.org/officeDocument/2006/relationships/hyperlink" Target="https://www.epson.de/de_DE/produkte/projector/short-distance/eb-l795se%C2%A0%E2%80%93-7-000%C2%A0lumen%2C-4ke-kurzdistanz-projektor%2C-der-sich-auf-eine-emissionsfreie-zukunft-konzentriert-%280%2C79%E2%80%931%2C36%3A1%29/p/52434?pid=52434" TargetMode="External"/><Relationship Id="rId68" Type="http://schemas.openxmlformats.org/officeDocument/2006/relationships/hyperlink" Target="https://www.thomann.de/de/cordial_cfm_05_fm_sw.htm" TargetMode="External"/><Relationship Id="rId76" Type="http://schemas.openxmlformats.org/officeDocument/2006/relationships/hyperlink" Target="https://www.reichelt.de/de/de/shop/produkt/switch_8-port_gigabit_ethernet_poe-223535?nbc=1" TargetMode="External"/><Relationship Id="rId84" Type="http://schemas.openxmlformats.org/officeDocument/2006/relationships/hyperlink" Target="https://www.amazon.de/wiederaufladbarem-Flightcase-Scheinwerfer-Fernbedienung-Wiederaufladbar/dp/B0F1F77V81?source=ps-sl-shoppingads-lpcontext&amp;ref_=fplfs&amp;smid=A1G9VTFD27IMKC&amp;th=1" TargetMode="External"/><Relationship Id="rId89" Type="http://schemas.openxmlformats.org/officeDocument/2006/relationships/hyperlink" Target="https://www.metro.de/marktplatz/product/5ddc5b21-7f0a-4fba-8c47-b94b8b4e2179?fromSimilarProducts=1" TargetMode="External"/><Relationship Id="rId97" Type="http://schemas.openxmlformats.org/officeDocument/2006/relationships/vmlDrawing" Target="../drawings/vmlDrawing1.vml"/><Relationship Id="rId7" Type="http://schemas.openxmlformats.org/officeDocument/2006/relationships/hyperlink" Target="https://www.dyson.de/raumklima/luftreiniger-heizluefter/purifier-hot-cool-hp1/weiss" TargetMode="External"/><Relationship Id="rId71" Type="http://schemas.openxmlformats.org/officeDocument/2006/relationships/hyperlink" Target="https://www.epson.de/de_DE/produkte/projector/short-distance/eb-l795se%C2%A0%E2%80%93-7-000%C2%A0lumen%2C-4ke-kurzdistanz-projektor%2C-der-sich-auf-eine-emissionsfreie-zukunft-konzentriert-%280%2C79%E2%80%931%2C36%3A1%29/p/52434?pid=52434" TargetMode="External"/><Relationship Id="rId92" Type="http://schemas.openxmlformats.org/officeDocument/2006/relationships/hyperlink" Target="https://www.bueromarkt-ag.de/beamer_acer_h6805bda_mr.jtb11.00s_4k_uhd,p-h6805bda.html" TargetMode="External"/><Relationship Id="rId2" Type="http://schemas.openxmlformats.org/officeDocument/2006/relationships/hyperlink" Target="https://www.bueromarkt-ag.de/multifunktionsgeraet_oki_mc853dnct,p-mc853dnct.html" TargetMode="External"/><Relationship Id="rId16" Type="http://schemas.openxmlformats.org/officeDocument/2006/relationships/hyperlink" Target="https://www.otto-office.com/de/HAMMERBACHER-Schreibtisch-XDSM19-Upper-Desk-180-cm-T-Fuss-silberfarben/96519/p?wkid=OO-4-DEoCX8aZbIVT9PpwAj" TargetMode="External"/><Relationship Id="rId29" Type="http://schemas.openxmlformats.org/officeDocument/2006/relationships/hyperlink" Target="https://www.apple.com/de/shop/buy-mac/macbook-air/15-zoll-silber-m4-chip-mit-10-core-cpu-10-core-gpu-16-gb-arbeitsspeicher-256gb" TargetMode="External"/><Relationship Id="rId11" Type="http://schemas.openxmlformats.org/officeDocument/2006/relationships/hyperlink" Target="https://www.ggmgastro.com/de-de-eur/lagerkuehlschrank-eco-200-liter-mit-1-tuer-innenseite-der-tuer-aus-kunststoff-schwarz-ksbl200?utm_source=google&amp;utm_medium=cpc&amp;utm_campaign=alle-produkte&amp;utm_content=klarna&amp;utm_term=KSBL200&amp;gad_source=1&amp;gad_campaignid=22113631619&amp;gbraid=0AAAAA9Sy9AnQBjrsF4B8RiQBEN2myHD1U&amp;gclid=CjwKCAjwup3HBhAAEiwA7euZulUNzfZl3DWlku1pKLxDgZVk9f5865yqnLRu_ejbIpwNJvUZIEIrkxoCYPoQAvD_BwE" TargetMode="External"/><Relationship Id="rId24" Type="http://schemas.openxmlformats.org/officeDocument/2006/relationships/hyperlink" Target="https://www.bueromarkt-ag.de/kaffeebecher_ritzenhoffundbreker_suomi_310ml,p-59700-1,l-google-prd,pd-b2c.html?utm_source=google&amp;utm_medium=cpc&amp;utm_campaign=19706804280&amp;gad_source=1" TargetMode="External"/><Relationship Id="rId32" Type="http://schemas.openxmlformats.org/officeDocument/2006/relationships/hyperlink" Target="https://www.bueromarkt-ag.de/versandhuelse_rumold_transparent_laenge_350-620mm,p-bk65350.html" TargetMode="External"/><Relationship Id="rId37" Type="http://schemas.openxmlformats.org/officeDocument/2006/relationships/hyperlink" Target="https://www.kaiserkraft.de/schraenke/werkstattschraenke/stahlschrank-nilas/mit-4-fachboeden/p/M20441365/?articleNumber=803758&amp;customerType=B2C&amp;utm_source=google&amp;utm_medium=cpc&amp;utm_campaign=PM_Cupboards&amp;utm_content=&amp;utm_term=&amp;infinity=ict2~net~gaw~cmp~PM_Cupboards~ag~~ar~~kw~~mt~&amp;gad_source=1&amp;gad_campaignid=21432098636&amp;gbraid=0AAAAADETXW3npLaeQ20cCSBPDVK9USm3k&amp;gclid=CjwKCAjwup3HBhAAEiwA7euZujOR3NLEKpUEVK2gfMsGG7NNlJkIhvgvMGKM6vSJPcqJ8IHAJliSNxoCCAsQAvD_BwE" TargetMode="External"/><Relationship Id="rId40" Type="http://schemas.openxmlformats.org/officeDocument/2006/relationships/hyperlink" Target="https://buero-direkt24.de/drehturenschrank-pro-d4-4-oh/?gad_source=1&amp;gad_campaignid=18902378376&amp;gbraid=0AAAAADyzpHRFGy-Qy50vgpINcTrPDDdVm&amp;gclid=CjwKCAjwup3HBhAAEiwA7euZukKfztV9JSP2ayiPYnSzFlw63Q_1CJWQi10R0qmTkEjBiWDfGibI9BoCoxIQAvD_BwE" TargetMode="External"/><Relationship Id="rId45" Type="http://schemas.openxmlformats.org/officeDocument/2006/relationships/hyperlink" Target="https://www.thomann.de/de/cameo_q_spot_40_rgbw_white.htm?gad_source=1&amp;gad_campaignid=1576042969&amp;gbraid=0AAAAADuDMCU6zQMjXY41n3ysw_2MOD_ci&amp;gclid=EAIaIQobChMI0ZP8wKqokAMVq9hEBx3DOjOHEAQYAyABEgIlwvD_BwE" TargetMode="External"/><Relationship Id="rId53" Type="http://schemas.openxmlformats.org/officeDocument/2006/relationships/hyperlink" Target="https://www.conrad.de/de/p/asus-zenwifi-bq16-3er-wlan-router-2-4-ghz-5-ghz-6-ghz-3415093.html?hk=SEM&amp;WT.mc_id=google_pla&amp;qwer=Cj0KCQjwjL3HBhCgARIsAPUg7a59QXutxynw2ztd1LJ8RHcjGAAm7uz5Pq_R_ysF9NO-18_O8gNO3x8aApH_EALw_wcB&amp;utm_source=google&amp;utm_medium=cpc&amp;utm_campaign=DE+-+PMAX+-" TargetMode="External"/><Relationship Id="rId58" Type="http://schemas.openxmlformats.org/officeDocument/2006/relationships/hyperlink" Target="https://hkaudio.com/de/produkte/s210-v/" TargetMode="External"/><Relationship Id="rId66" Type="http://schemas.openxmlformats.org/officeDocument/2006/relationships/hyperlink" Target="https://www.thomann.de/de/the_t_racks_power_8_s.htm" TargetMode="External"/><Relationship Id="rId74" Type="http://schemas.openxmlformats.org/officeDocument/2006/relationships/hyperlink" Target="https://www.bavord.de/bierset-220x70cm-premium-mit-armlehne/?gad_source=1&amp;gad_campaignid=22473405259&amp;gclid=CjwKCAjwu9fHBhAWEiwAzGRC__wUL7073MjPNU5mEy9OI9FXpFCXv3W88v0txmQ9YxLQ6CS6eQln0RoCLWAQAvD_BwE" TargetMode="External"/><Relationship Id="rId79" Type="http://schemas.openxmlformats.org/officeDocument/2006/relationships/hyperlink" Target="https://www.reichelt.de/de/de/shop/produkt/0_5_m_cat_6_pimf-patchkabel_gelb-63236?nbc=1" TargetMode="External"/><Relationship Id="rId87" Type="http://schemas.openxmlformats.org/officeDocument/2006/relationships/hyperlink" Target="https://www.profizelt24.de/faltpavillon/59060.html?gad_source=1&amp;gad_campaignid=20929544315&amp;gclid=CjwKCAjwu9fHBhAWEiwAzGRC_w7xIv4dZJ4f5LVMuSuz8UAORM4o0q7G6ZbVIHunDn61CkhoQfHRBxoChPcQAvD_BwE" TargetMode="External"/><Relationship Id="rId5" Type="http://schemas.openxmlformats.org/officeDocument/2006/relationships/hyperlink" Target="https://www.apple.com/de/shop/buy-mac/imac/silber-24-zoll-standardglas-apple-m4-chip-mit-10-core-cpu-und-10-core-gpu-16-gb-arbeitsspeicher-256gb" TargetMode="External"/><Relationship Id="rId61" Type="http://schemas.openxmlformats.org/officeDocument/2006/relationships/hyperlink" Target="https://www.mmobiel.com/de/mmobiel-hdmi-8k-glasfaserkabel-15m-48gbps-ultra-high-speed-8kat60hz-schwarz" TargetMode="External"/><Relationship Id="rId82" Type="http://schemas.openxmlformats.org/officeDocument/2006/relationships/hyperlink" Target="https://www.biertischgarnituren-shop.de/produkt/stehtisch-atlas/" TargetMode="External"/><Relationship Id="rId90" Type="http://schemas.openxmlformats.org/officeDocument/2006/relationships/hyperlink" Target="https://www.bueromarkt-ag.de/beamer-leinwand_celexon_rollo_professional_plus,p-1090784.html" TargetMode="External"/><Relationship Id="rId95" Type="http://schemas.openxmlformats.org/officeDocument/2006/relationships/hyperlink" Target="https://www.office-partner.de/samsung-flip-pro-wm65b-neomounts-ns-m1250white-x1000032116?utm_campaign=retailerweb&amp;utm_source=152384&amp;utm_medium=banner&amp;0=&amp;ra_id=5042516353&amp;1" TargetMode="External"/><Relationship Id="rId19" Type="http://schemas.openxmlformats.org/officeDocument/2006/relationships/hyperlink" Target="https://www.otto-office.com/de/Buerostuhl-mayer-Sitzmoebel-my-Wizard-mit-Armlehnen/341308/p?wkid=OO-4-DEoCX8aZbIVT9PpwAj" TargetMode="External"/><Relationship Id="rId14" Type="http://schemas.openxmlformats.org/officeDocument/2006/relationships/hyperlink" Target="https://eu.store.bambulab.com/de/products/pla-basic-refill-pack" TargetMode="External"/><Relationship Id="rId22" Type="http://schemas.openxmlformats.org/officeDocument/2006/relationships/hyperlink" Target="https://www.bueromarkt-ag.de/trinkglaeser_ritzenhoffundbreker_4all_longdrink,p-690224.html" TargetMode="External"/><Relationship Id="rId27" Type="http://schemas.openxmlformats.org/officeDocument/2006/relationships/hyperlink" Target="https://www.schaefer-shop.de/p/sparset-maul-flipchart-solid-fahrbar-hoehenverstellbar-gratis-1-block-und-4-stifte?selectedItem=166474&amp;b2borb2c=1&amp;gshop=1&amp;alw=1319-1332-2488-3418_166474&amp;kb=ga_pm_20282185109_&amp;cc=A065954&amp;gkw=&amp;track=v44*&amp;mch2=gsad&amp;gad_source=1&amp;gad_campaignid=20286857659&amp;gbraid=0AAAAAD8KVerAQCmzDCy4iZVZ2Z6-gwdtU&amp;gclid=CjwKCAjwup3HBhAAEiwA7euZujx4m6s4BG4zG_iRVhZ3kpaOnZyCyqGjcDQMHNNd4xHlQchw1AOpwxoC-J8QAvD_BwE" TargetMode="External"/><Relationship Id="rId30" Type="http://schemas.openxmlformats.org/officeDocument/2006/relationships/hyperlink" Target="https://www.apple.com/de/shop/product/MWR53D/A/magic-keyboard-f%C3%BCr-13-ipad-pro-m4-deutsch-schwarz" TargetMode="External"/><Relationship Id="rId35" Type="http://schemas.openxmlformats.org/officeDocument/2006/relationships/hyperlink" Target="https://www.bueromarkt-ag.de/rollcontainer_hammerbacher_b-serie_holz_buche,p-bac30b.html" TargetMode="External"/><Relationship Id="rId43" Type="http://schemas.openxmlformats.org/officeDocument/2006/relationships/hyperlink" Target="https://www.amazon.de/-/en/Philips-Senseo-Maestro-Coffee-Machine/dp/B0B9NR4TJR/ref=sr_1_1?crid=18QBZIJ7YFOGA&amp;dib=eyJ2IjoiMSJ9.PfJ_Ge-gKNEov9XO6piDjmATsn2RN5vy8EZV3IqtWj3t2DijzRSdsU_2yyHCHNDKMQJVdv-wAZTf3xfrU5PIGuLyEtl2Ts83Z1NZTUyq7AFGQ3wmp8iX5jsDbF9gBBpdlkRKMtsqR9bW_YbmDVgH6xg4hz6HJQqQISp60wmLXbfICQVjgwpKW77-CEvOVcjiSHAUTf8XWnym7CnZlgILOqKgusNUqTCcNGQGaexCkR8.aBYCS62srgzEQKjy4S86k5lBBP2Z54IAsO3Ed2DQyhM&amp;dib_tag=se&amp;keywords=Philips+Senseo+Maestro+Coffee+Pod+Machine+-+Intense+Plus+Technology%2C+High-Quality+Espresso+Quality%2C+Environmentally+Friendly+Design%2C+1.2+L+Water+Tank%2C+Memo+Function%2C+Descaling+Indicator+%28CSA260%2F60%29&amp;qid=1760445146&amp;sprefix=philips+senseo+maestro+coffee+pod+machine+-+intense+plus+technology+high-quality+espresso+quality+environmentally+friendly+design+1.2+l+water+tank+memo+function+descaling+indicator+csa260%2F60+%2Caps%2C111&amp;sr=8-1&amp;language=de_DE" TargetMode="External"/><Relationship Id="rId48" Type="http://schemas.openxmlformats.org/officeDocument/2006/relationships/hyperlink" Target="https://www.metro.de/marktplatz/product/c3c7cf57-084a-4a94-9874-4bc0ec07e552?mfeed_oid=667aa3a6-c609-4286-abba-da6bbf9c352f&amp;mfeed_bm=1&amp;utm_source=google&amp;utm_medium=cpc&amp;utm_campaign=de_mm_ag_pmax_all_dynamic_all_b2c_feed_high&amp;gad_source=1&amp;gad_campaignid=20948705910&amp;gbraid=0AAAAACqaXxbAGi320xBmljxQ13PAKAZLL&amp;gclid=EAIaIQobChMI38Kly6-okAMV8qaDBx1Mvy5NEAQYAiABEgKDDfD_BwE" TargetMode="External"/><Relationship Id="rId56" Type="http://schemas.openxmlformats.org/officeDocument/2006/relationships/hyperlink" Target="https://www.otto.de/p/bmg-moebel-bueromoebel-set-office-edition-5-buero-set-8-tlg-tueren-abschliessbar-rollcontainer-S0F0S0NL/" TargetMode="External"/><Relationship Id="rId64" Type="http://schemas.openxmlformats.org/officeDocument/2006/relationships/hyperlink" Target="https://www.bechtle.com/shop/barco-cx-30-gen-2-praesentationssystem--4698535--p" TargetMode="External"/><Relationship Id="rId69" Type="http://schemas.openxmlformats.org/officeDocument/2006/relationships/hyperlink" Target="https://www.bechtle.com/shop/owl-labs-meeting-owl-3-360-system--4644211--p" TargetMode="External"/><Relationship Id="rId77" Type="http://schemas.openxmlformats.org/officeDocument/2006/relationships/hyperlink" Target="https://www.reichelt.de/de/de/shop/produkt/steckdosenleiste_10_1he_4-fach-287611?nbc=1" TargetMode="External"/><Relationship Id="rId8" Type="http://schemas.openxmlformats.org/officeDocument/2006/relationships/hyperlink" Target="https://www.bueromarkt-ag.de/konferenzkamera_logitech_bcc950_conferencecam,p-960-000867,l-google-css,pd-b2c.html?utm_source=google&amp;utm_medium=cpc&amp;utm_campaign=20144954577&amp;gad_source=1" TargetMode="External"/><Relationship Id="rId51" Type="http://schemas.openxmlformats.org/officeDocument/2006/relationships/hyperlink" Target="https://www.aktivtisch.de/preise" TargetMode="External"/><Relationship Id="rId72" Type="http://schemas.openxmlformats.org/officeDocument/2006/relationships/hyperlink" Target="https://www.jacob.de/produkte/Ubiquiti-UniFi-AP-UAP-AC-PRO-artnr-2537393.html?" TargetMode="External"/><Relationship Id="rId80" Type="http://schemas.openxmlformats.org/officeDocument/2006/relationships/hyperlink" Target="https://www.reichelt.de/de/de/shop/produkt/10_fachboden_einbautiefe_160_mm_tiefschwarz-248797?nbc=1" TargetMode="External"/><Relationship Id="rId85" Type="http://schemas.openxmlformats.org/officeDocument/2006/relationships/hyperlink" Target="https://www.profizelt24.de/faltpavillon/zubehoer/sicherung/578713.html" TargetMode="External"/><Relationship Id="rId93" Type="http://schemas.openxmlformats.org/officeDocument/2006/relationships/hyperlink" Target="https://www.epson.de/de_DE/produkte/projector/short-distance/eb-l795se%C2%A0%E2%80%93-7-000%C2%A0lumen%2C-4ke-kurzdistanz-projektor%2C-der-sich-auf-eine-emissionsfreie-zukunft-konzentriert-%280%2C79%E2%80%931%2C36%3A1%29/p/52434?pid=52434" TargetMode="External"/><Relationship Id="rId98" Type="http://schemas.openxmlformats.org/officeDocument/2006/relationships/comments" Target="../comments1.xml"/><Relationship Id="rId3" Type="http://schemas.openxmlformats.org/officeDocument/2006/relationships/hyperlink" Target="https://www.apple.com/de/shop/buy-ipad/ipad-pro/13%22-display-512gb-space-schwarz-wifi-standardglas" TargetMode="External"/><Relationship Id="rId12" Type="http://schemas.openxmlformats.org/officeDocument/2006/relationships/hyperlink" Target="https://fritz.com/en/products/fritz-box-6860-5g-20003048" TargetMode="External"/><Relationship Id="rId17" Type="http://schemas.openxmlformats.org/officeDocument/2006/relationships/hyperlink" Target="https://www.otto-office.com/de/HAMMERBACHER-2er-Set-Stapelstuehle-Meeting-One/99829/p?wkid=OO-4-DEoCX8aZbIVT9PpwAj" TargetMode="External"/><Relationship Id="rId25" Type="http://schemas.openxmlformats.org/officeDocument/2006/relationships/hyperlink" Target="https://www.bueromarkt-ag.de/laminiergeraet_leitz_74744000_ilam_touch_2_a3,p-74744000,l-google-css,pd-b2c.html?utm_source=google&amp;utm_medium=cpc&amp;utm_campaign=20144954589&amp;gad_source=1" TargetMode="External"/><Relationship Id="rId33" Type="http://schemas.openxmlformats.org/officeDocument/2006/relationships/hyperlink" Target="https://www.bueromarkt-ag.de/bodenschutzmatte_floortex_valuemat_transparent,p-129017.html" TargetMode="External"/><Relationship Id="rId38" Type="http://schemas.openxmlformats.org/officeDocument/2006/relationships/hyperlink" Target="https://www.schaefer-shop.de/p/stahlschrank-2-oh-2-hoehenverstellbare-einlegeboeden-drehzylinderschloss-b-916-x-t-422-x-h-1000-mm-wahlweise-lichtgrau-ral-7035-lichtgrau-ral-7035-oder-lichtgrau-ral-7035-enzianblau-ral-5010?selectedItem=464506&amp;cc=A147001&amp;fprofile=b2c&amp;alw=1-3093-3271_464506_aff&amp;utm_medium=affiliate&amp;utm_campaign=915303&amp;sv1=affiliate&amp;sv_campaign_id=915303&amp;awc=11479_1760039504_409a799a19d258639242abf396e8aabb" TargetMode="External"/><Relationship Id="rId46" Type="http://schemas.openxmlformats.org/officeDocument/2006/relationships/hyperlink" Target="https://www.kaufland.de/product/347043117/" TargetMode="External"/><Relationship Id="rId59" Type="http://schemas.openxmlformats.org/officeDocument/2006/relationships/hyperlink" Target="https://www.musicstore.de/de_DE/EUR/Omnitronic-RM-1422FX-USB/art-PAH0019172-000" TargetMode="External"/><Relationship Id="rId67" Type="http://schemas.openxmlformats.org/officeDocument/2006/relationships/hyperlink" Target="https://www.thomann.de/de/thon_rackschublade_2he.htm" TargetMode="External"/><Relationship Id="rId20" Type="http://schemas.openxmlformats.org/officeDocument/2006/relationships/hyperlink" Target="https://www.otto-office.com/de/Kerkmann-Vitrine-expoline-45-cm-breit/57738/p?wkid=OO-4-DEoCX8aZbIVT9PpwAj" TargetMode="External"/><Relationship Id="rId41" Type="http://schemas.openxmlformats.org/officeDocument/2006/relationships/hyperlink" Target="https://www.amazon.de/Fellowes-5306114-ImageLast-Laminierfolien-transparent/dp/B001BS1IIS/ref=sr_1_7?__mk_de_DE=%C3%85M%C3%85%C5%BD%C3%95%C3%91&amp;crid=MECKASQZFPKN&amp;dib=eyJ2IjoiMSJ9.tVexFUYk9YPej9uI-BYMmKvhgfXOadfVBUFWqXNktWZCcq-MrZW93ekZAmXmNtgWW7heFa5Ou417UacQh_VBsp10TbsjVuw8QZKnSKjgl5z5yF7jX-ufaQlwF1ytCR4KttbbmxFrNg2jcuUXaPdC0ewdRcmvO-8YPVOcjSyiWAKMs-7btZfdXb4UaaX1FdkTfdqi6QiaO2AtgN0wdjLEJr5apqe8D_YJOK5O7a9fT4rabCS_fYpTfg3v5sacauf44tmuZk_Ywa8fqGRetpFWYkBHmo36EOKzTQyyCiAYWPg.dZ168QgMFJahnB1vBNULnRMY6Vl1eCxzNz-stL_SaCw&amp;dib_tag=se&amp;keywords=laminierfolie&amp;qid=1760084571&amp;sprefix=laminierfolie%2Caps%2C87&amp;sr=8-7&amp;th=1" TargetMode="External"/><Relationship Id="rId54" Type="http://schemas.openxmlformats.org/officeDocument/2006/relationships/hyperlink" Target="https://www.amazon.de/dp/B084P3KP2S?ref=amzdv_ucc_dp_lod__B084P3KP2S" TargetMode="External"/><Relationship Id="rId62" Type="http://schemas.openxmlformats.org/officeDocument/2006/relationships/hyperlink" Target="https://teltec.de/panasonic-pressit360-meeting-room-camera.html" TargetMode="External"/><Relationship Id="rId70" Type="http://schemas.openxmlformats.org/officeDocument/2006/relationships/hyperlink" Target="https://hansrasenmaher.com/product/blyss-kofferanhaenger-146x304cm-hoehe210cm-27tverkaufsklappe-sonderinnenhoehe/" TargetMode="External"/><Relationship Id="rId75" Type="http://schemas.openxmlformats.org/officeDocument/2006/relationships/hyperlink" Target="https://www.reichelt.de/de/de/shop/produkt/10_wandgehaeuse_9he_tiefe_300mm-248770?nbc=1" TargetMode="External"/><Relationship Id="rId83" Type="http://schemas.openxmlformats.org/officeDocument/2006/relationships/hyperlink" Target="https://masta.nl/de/powerlock-t1-scm-anhangerkupplungsschloss-taschenmodell.html?gad_source=1&amp;gad_campaignid=22582361463&amp;gclid=CjwKCAjwu9fHBhAWEiwAzGRC__Ly6tM4sYwgRcY5Ni0wy50WA5rpKTNSBgYb4At6xX0r5-e84HPJRBoCO9YQAvD_BwE" TargetMode="External"/><Relationship Id="rId88" Type="http://schemas.openxmlformats.org/officeDocument/2006/relationships/hyperlink" Target="https://www.metro.de/marktplatz/product/548303ab-7d67-4718-8b96-1e48a1a3b83b" TargetMode="External"/><Relationship Id="rId91" Type="http://schemas.openxmlformats.org/officeDocument/2006/relationships/hyperlink" Target="https://www.bueromarkt-ag.de/wandabstandshalterung_celexon_1090414_set_mit_2_stueck,p-1090414.html" TargetMode="External"/><Relationship Id="rId96" Type="http://schemas.openxmlformats.org/officeDocument/2006/relationships/printerSettings" Target="../printerSettings/printerSettings2.bin"/><Relationship Id="rId1" Type="http://schemas.openxmlformats.org/officeDocument/2006/relationships/hyperlink" Target="https://www.amazon.de/KTC-EDLA-Zertifiziert-Lautsprecher-A32Q7-Pro/dp/B0DWNC1573/ref=sr_1_3?__mk_de_DE=%C3%85M%C3%85%C5%BD%C3%95%C3%91&amp;crid=1ISKTSY7EP3M0&amp;dib=eyJ2IjoiMSJ9.cxjCIAHtwti7PYoM354XX13DqAM81CMzSzOq6Ux0uezGjHj071QN20LucGBJIEps.dDQHOBtabn088tp3BsHAYS-xbRg_yBNKtLv7oXkxDg0&amp;dib_tag=se&amp;keywords=KTC%2BA32Q7%2BPro&amp;qid=1759932244&amp;sprefix=ktc%2Ba32q7%2Bpro%2Caps%2C149&amp;sr=8-3&amp;th=1" TargetMode="External"/><Relationship Id="rId6" Type="http://schemas.openxmlformats.org/officeDocument/2006/relationships/hyperlink" Target="https://www.conrad.de/de/p/celexon-leinwand-rollo-economy-240-x-180-cm-118-562483.html?insert_kz=VQ&amp;hk=SEM&amp;WT.mc_id=google_pla&amp;qwer=CjwKCAjwup3HBhAAEiwA7euZuvdWLj0SNmQOtnmiT5D46BhlPWYZvuvbTSMlXP79P2aAMRCy_Wa3YxoCpx0QAvD_BwE&amp;utm_source=google&amp;utm_medium=cpc&amp;utm_campaign=DE%20-%20PMAX%20-%20Nonbrand%20-%20Learning&amp;utm_id=20402606569&amp;gad_source=1&amp;gad_campaignid=20392975386&amp;gbraid=0AAAAAD1-3H7azEKnXypDU74RaXHME7fia&amp;gclid=CjwKCAjwup3HBhAAEiwA7euZuvdWLj0SNmQOtnmiT5D46BhlPWYZvuvbTSMlXP79P2aAMRCy_Wa3YxoCpx0QAvD_BwE" TargetMode="External"/><Relationship Id="rId15" Type="http://schemas.openxmlformats.org/officeDocument/2006/relationships/hyperlink" Target="https://eu.store.bambulab.com/de/products/pla-basic-beginner-s-filament-pack" TargetMode="External"/><Relationship Id="rId23" Type="http://schemas.openxmlformats.org/officeDocument/2006/relationships/hyperlink" Target="https://www.bueromarkt-ag.de/kaffeeloeffel_wmf_professional_base_edelstahl,p-1223076040.html" TargetMode="External"/><Relationship Id="rId28" Type="http://schemas.openxmlformats.org/officeDocument/2006/relationships/hyperlink" Target="https://www.mediamarkt.de/de/product/_jbl-partybox-710-2734750.html?storeId=420&amp;utm_source=google&amp;utm_medium=cpc&amp;utm_campaign=RT_shopping_na_nsp_na_PLA+-+bluePortal+4+PMax&amp;gclsrc=aw.ds&amp;gad_source=1&amp;gad_campaignid=19783697924&amp;gbraid=0AAAAADh5KahXps5qCZzUhBE5r6wKxf1IA&amp;gclid=CjwKCAjwup3HBhAAEiwA7euZujRugukbUeyEGrjPlze1ygI0GIoSMW51JBGSUrndoMllqCFIy5a1oxoCfU0QAvD_BwE" TargetMode="External"/><Relationship Id="rId36" Type="http://schemas.openxmlformats.org/officeDocument/2006/relationships/hyperlink" Target="https://www.otto-office.com/de/HAMMERBACHER-Konferenztisch-DR08-Barcelona-80x80-cm-Gestell-schwarz/88016/p?wkid=OO-4-DE47Hw9ok77fGZFgiQ" TargetMode="External"/><Relationship Id="rId49" Type="http://schemas.openxmlformats.org/officeDocument/2006/relationships/hyperlink" Target="https://www.metro.de/marktplatz/product/41a91ff9-fa1f-42fb-a8fc-c95a222f4982" TargetMode="External"/><Relationship Id="rId57" Type="http://schemas.openxmlformats.org/officeDocument/2006/relationships/hyperlink" Target="https://hkaudio.com/de/produkte/p10j/" TargetMode="External"/><Relationship Id="rId10" Type="http://schemas.openxmlformats.org/officeDocument/2006/relationships/hyperlink" Target="https://eu.store.bambulab.com/de/products/h2d?from=navigation&amp;id=596571526990503937" TargetMode="External"/><Relationship Id="rId31" Type="http://schemas.openxmlformats.org/officeDocument/2006/relationships/hyperlink" Target="https://www.apple.com/de/shop/product/MX2D3ZM/A/apple-pencil-pro?fnode=2f418c8d1aed5350c7c7bcec29dcc1a9995e6dfd72e1e010114488550e43e4a84769ca95cf066c48b055cd4c40a26e73cf257855156177ba7a0cd28229a03fc06822327b8a728a27cf8d07e442a3e3bf370a210ac007519b60a83e740fad95a2" TargetMode="External"/><Relationship Id="rId44" Type="http://schemas.openxmlformats.org/officeDocument/2006/relationships/hyperlink" Target="https://www.metro.de/marktplatz/product/6f2c525f-32e5-4efb-a073-d790b5440648?mfeed_oid=f6ec19b0-939c-442b-96f0-2668d4af8668&amp;mfeed_bm=1&amp;utm_source=google&amp;utm_medium=cpc&amp;utm_campaign=de_mm_ag_shopping_all_standard_all_b2c_feed_brand&amp;gad_source=1&amp;gad_campaignid=22549537188&amp;gbraid=0AAAAACqaXxYRNYgVJoj1dsFO2DtiYh3t1&amp;gclid=EAIaIQobChMI8eL3xKmokAMVPZWDBx1M8iBpEAQYASABEgIEcPD_BwE&amp;itm_pm=cookie_consent_accept_button" TargetMode="External"/><Relationship Id="rId52" Type="http://schemas.openxmlformats.org/officeDocument/2006/relationships/hyperlink" Target="https://www.amazon.de/KTC-EDLA-Zertifiziert-Lautsprecher-A32Q7-Pro/dp/B0DWNC1573/ref=sr_1_3?__mk_de_DE=%C3%85M%C3%85%C5%BD%C3%95%C3%91&amp;crid=1ISKTSY7EP3M0&amp;dib=eyJ2IjoiMSJ9.cxjCIAHtwti7PYoM354XX13DqAM81CMzSzOq6Ux0uezGjHj071QN20LucGBJIEps.dDQHOBtabn088tp3BsHAYS-xbRg_yBNKtLv7oXkxDg0&amp;dib_tag=se&amp;keywords=KTC%2BA32Q7%2BPro&amp;qid=1759932244&amp;sprefix=ktc%2Ba32q7%2Bpro%2Caps%2C149&amp;sr=8-3&amp;th=1" TargetMode="External"/><Relationship Id="rId60" Type="http://schemas.openxmlformats.org/officeDocument/2006/relationships/hyperlink" Target="https://www.reichelt.de/de/de/shop/produkt/ki-unterstuetzte_4k_ptz-streaming-kamera-370617?PRO_VID=2788&amp;gad_source=1&amp;gad_campaignid=183388+67917&amp;gclid=CjwKCAjwuePGBhBZEiwAIGCVSwHVH8z+zDuwbY4WHE0BV8G-FdheRSA5PzLSH9pV93wsYpRNomd+AD0xoCqGwQAvD_BwE" TargetMode="External"/><Relationship Id="rId65" Type="http://schemas.openxmlformats.org/officeDocument/2006/relationships/hyperlink" Target="https://www.thomann.de/de/ld_systems_u505_hhd2.htm" TargetMode="External"/><Relationship Id="rId73" Type="http://schemas.openxmlformats.org/officeDocument/2006/relationships/hyperlink" Target="https://www.bueromarkt-ag.de/wlan-router_avm_fritz!box_4690,p-20003082,l-94511215,pd-b2c.html?" TargetMode="External"/><Relationship Id="rId78" Type="http://schemas.openxmlformats.org/officeDocument/2006/relationships/hyperlink" Target="https://www.reichelt.de/de/de/shop/produkt/3_m_cat_6_pimf-patchkabel_gelb-63239?nbc=1" TargetMode="External"/><Relationship Id="rId81" Type="http://schemas.openxmlformats.org/officeDocument/2006/relationships/hyperlink" Target="https://www.reichelt.de/de/de/shop/produkt/kaefigmutternset_m5_50_stueck-374184?nbc=1" TargetMode="External"/><Relationship Id="rId86" Type="http://schemas.openxmlformats.org/officeDocument/2006/relationships/hyperlink" Target="https://www.profizelt24.de/faltpavillon/zubehoer/sicherung/130647.html" TargetMode="External"/><Relationship Id="rId94" Type="http://schemas.openxmlformats.org/officeDocument/2006/relationships/hyperlink" Target="https://www.mediamarkt.de/de/product/_epson-eh-ls650b-beameruhd-4k-1800-lumen-129205792.html" TargetMode="External"/><Relationship Id="rId4" Type="http://schemas.openxmlformats.org/officeDocument/2006/relationships/hyperlink" Target="https://www.apple.com/de/shop/product/MXK53Z/A/magic-mouse-usb%E2%80%91c-wei&#223;e-multi-touch-oberfl&#228;che?fnode=d2c80cfc3ca4c981ae96f4088cc087cb61c51dd962dc386db44b315d13a98efb8a5d1c6699d2bdd5459f8f8a274d4fdafcbe02a504fb4f87a0c4dc7196fdf40239038fe7659114c78adc869ddbb349a1de37cec56c4a4c22cc123f984aa3a4f1" TargetMode="External"/><Relationship Id="rId9" Type="http://schemas.openxmlformats.org/officeDocument/2006/relationships/hyperlink" Target="https://www.mediamarkt.de/de/product/_jbl-partybox-wireless-mikrofon-schwarz-2917734.html" TargetMode="External"/><Relationship Id="rId13" Type="http://schemas.openxmlformats.org/officeDocument/2006/relationships/hyperlink" Target="https://www.bueromarkt-ag.de/versandhuelse_eichner_transparent_laenge_600-1450mm,p-9703-00059.html" TargetMode="External"/><Relationship Id="rId18" Type="http://schemas.openxmlformats.org/officeDocument/2006/relationships/hyperlink" Target="https://www.otto-office.com/de/SODEMATUB-Schreibtisch-160-cm-klappbar-alufarben/72538/p?wkid=OO-4-DEoCX8aZbIVT9PpwAj" TargetMode="External"/><Relationship Id="rId39" Type="http://schemas.openxmlformats.org/officeDocument/2006/relationships/hyperlink" Target="https://www.kaiserkraft.de/regale/fachbodenregale/lagerregal-lagan/regalhoehe-1800-mm/p/M20147794/?articleNumber=527278&amp;customerType=B2C&amp;utm_source=google&amp;utm_medium=cpc&amp;utm_campaign=PM_Shelving-Storage&amp;utm_content=&amp;utm_term=&amp;infinity=ict2~net~gaw~cmp~PM_Shelving-Storage~ag~~ar~~kw~~mt~&amp;gad_source=1&amp;gad_campaignid=22872048947&amp;gbraid=0AAAAADETXW3F0rTbmTVsmxb-zJCJI9Ul0&amp;gclid=CjwKCAjwup3HBhAAEiwA7euZuujgrH0ghpHYB2kZ7JNBknHdFCm3u0-HMxN0Gq-_I_oDry4IIqjrFxoCUtAQAvD_Bw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mediamarkt.de/de/product/_apple-ipad-wi-fi-11th-generation-tablet-256-gb-11-zoll-silber-2984219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0694-C2D2-4C11-ACAA-17467436ADD7}">
  <sheetPr>
    <tabColor rgb="FF92D050"/>
    <pageSetUpPr fitToPage="1"/>
  </sheetPr>
  <dimension ref="A1:S41"/>
  <sheetViews>
    <sheetView topLeftCell="E1" zoomScale="90" zoomScaleNormal="90" workbookViewId="0">
      <selection activeCell="I13" sqref="I13"/>
    </sheetView>
  </sheetViews>
  <sheetFormatPr baseColWidth="10" defaultColWidth="11.453125" defaultRowHeight="14.5" x14ac:dyDescent="0.35"/>
  <cols>
    <col min="1" max="2" width="11.453125" style="10"/>
    <col min="3" max="3" width="13.1796875" style="10" bestFit="1" customWidth="1"/>
    <col min="4" max="5" width="13.1796875" style="10" customWidth="1"/>
    <col min="6" max="6" width="36.26953125" style="10" bestFit="1" customWidth="1"/>
    <col min="7" max="7" width="14.81640625" style="10" bestFit="1" customWidth="1"/>
    <col min="8" max="8" width="42.81640625" style="10" bestFit="1" customWidth="1"/>
    <col min="9" max="9" width="22.26953125" style="10" customWidth="1"/>
    <col min="10" max="10" width="48.453125" style="10" customWidth="1"/>
    <col min="11" max="11" width="17.453125" style="10" bestFit="1" customWidth="1"/>
    <col min="12" max="12" width="18.1796875" style="10" bestFit="1" customWidth="1"/>
    <col min="13" max="13" width="19" style="10" bestFit="1" customWidth="1"/>
    <col min="14" max="14" width="19.7265625" style="10" bestFit="1" customWidth="1"/>
    <col min="15" max="16384" width="11.453125" style="10"/>
  </cols>
  <sheetData>
    <row r="1" spans="1:19" x14ac:dyDescent="0.35">
      <c r="B1" s="11"/>
      <c r="F1" s="11"/>
      <c r="O1" s="11"/>
    </row>
    <row r="2" spans="1:19" ht="18.5" x14ac:dyDescent="0.35">
      <c r="A2" s="60" t="s">
        <v>91</v>
      </c>
      <c r="B2" s="62"/>
      <c r="C2" s="63"/>
      <c r="D2" s="110"/>
      <c r="E2" s="110"/>
      <c r="F2" s="60"/>
      <c r="G2" s="61">
        <f>SUM(N15,N29,N40)</f>
        <v>24010.14</v>
      </c>
      <c r="O2" s="11"/>
    </row>
    <row r="3" spans="1:19" x14ac:dyDescent="0.35">
      <c r="B3" s="11"/>
      <c r="F3" s="11"/>
      <c r="O3" s="11"/>
    </row>
    <row r="4" spans="1:19" x14ac:dyDescent="0.35">
      <c r="A4" s="76" t="s">
        <v>561</v>
      </c>
      <c r="B4" s="76" t="s">
        <v>10</v>
      </c>
      <c r="C4" s="76" t="s">
        <v>11</v>
      </c>
      <c r="D4" s="76" t="s">
        <v>94</v>
      </c>
      <c r="E4" s="76" t="s">
        <v>95</v>
      </c>
      <c r="F4" s="76" t="s">
        <v>0</v>
      </c>
      <c r="G4" s="76" t="s">
        <v>2</v>
      </c>
      <c r="H4" s="76" t="s">
        <v>80</v>
      </c>
      <c r="I4" s="76" t="s">
        <v>7</v>
      </c>
      <c r="J4" s="76" t="s">
        <v>8</v>
      </c>
      <c r="K4" s="76" t="s">
        <v>3</v>
      </c>
      <c r="L4" s="76" t="s">
        <v>4</v>
      </c>
      <c r="M4" s="76" t="s">
        <v>5</v>
      </c>
      <c r="N4" s="76" t="s">
        <v>6</v>
      </c>
      <c r="O4" s="76" t="s">
        <v>28</v>
      </c>
      <c r="P4" s="76" t="s">
        <v>32</v>
      </c>
      <c r="Q4" s="76" t="s">
        <v>29</v>
      </c>
      <c r="R4" s="76" t="s">
        <v>30</v>
      </c>
      <c r="S4" s="76" t="s">
        <v>31</v>
      </c>
    </row>
    <row r="5" spans="1:19" ht="72.5" x14ac:dyDescent="0.35">
      <c r="A5" s="77"/>
      <c r="B5" s="76" t="s">
        <v>39</v>
      </c>
      <c r="C5" s="76" t="s">
        <v>40</v>
      </c>
      <c r="D5" s="112"/>
      <c r="E5" s="112"/>
      <c r="F5" s="77" t="s">
        <v>33</v>
      </c>
      <c r="G5" s="77">
        <v>1</v>
      </c>
      <c r="H5" s="78" t="s">
        <v>81</v>
      </c>
      <c r="I5" s="77" t="s">
        <v>82</v>
      </c>
      <c r="J5" s="79" t="s">
        <v>83</v>
      </c>
      <c r="K5" s="80">
        <v>0</v>
      </c>
      <c r="L5" s="80">
        <v>109.99</v>
      </c>
      <c r="M5" s="80">
        <f t="shared" ref="M5:M10" si="0">SUM(G5*K5)</f>
        <v>0</v>
      </c>
      <c r="N5" s="80">
        <f>SUM(G5*L5)</f>
        <v>109.99</v>
      </c>
      <c r="O5" s="77"/>
      <c r="P5" s="77"/>
      <c r="Q5" s="77"/>
      <c r="R5" s="77"/>
      <c r="S5" s="77"/>
    </row>
    <row r="6" spans="1:19" ht="47.25" customHeight="1" x14ac:dyDescent="0.35">
      <c r="A6" s="77"/>
      <c r="B6" s="77"/>
      <c r="C6" s="77"/>
      <c r="D6" s="77"/>
      <c r="E6" s="77"/>
      <c r="F6" s="81" t="s">
        <v>88</v>
      </c>
      <c r="G6" s="77">
        <v>1</v>
      </c>
      <c r="H6" s="78" t="s">
        <v>87</v>
      </c>
      <c r="I6" s="77" t="s">
        <v>84</v>
      </c>
      <c r="J6" s="82" t="s">
        <v>86</v>
      </c>
      <c r="K6" s="80">
        <v>0</v>
      </c>
      <c r="L6" s="80">
        <v>739.99</v>
      </c>
      <c r="M6" s="80">
        <f t="shared" si="0"/>
        <v>0</v>
      </c>
      <c r="N6" s="83">
        <f>SUM(G6*L6)</f>
        <v>739.99</v>
      </c>
      <c r="O6" s="77"/>
      <c r="P6" s="77"/>
      <c r="Q6" s="77"/>
      <c r="R6" s="77"/>
      <c r="S6" s="77"/>
    </row>
    <row r="7" spans="1:19" ht="59.25" customHeight="1" x14ac:dyDescent="0.35">
      <c r="A7" s="77"/>
      <c r="B7" s="77"/>
      <c r="C7" s="77"/>
      <c r="D7" s="77"/>
      <c r="E7" s="77"/>
      <c r="F7" s="84" t="s">
        <v>41</v>
      </c>
      <c r="G7" s="77">
        <v>1</v>
      </c>
      <c r="H7" s="78" t="s">
        <v>317</v>
      </c>
      <c r="I7" s="77" t="s">
        <v>84</v>
      </c>
      <c r="J7" s="82" t="s">
        <v>85</v>
      </c>
      <c r="K7" s="80"/>
      <c r="L7" s="80">
        <v>1439.14</v>
      </c>
      <c r="M7" s="80">
        <f t="shared" si="0"/>
        <v>0</v>
      </c>
      <c r="N7" s="83">
        <f>SUM(G7*L7)</f>
        <v>1439.14</v>
      </c>
      <c r="O7" s="77"/>
      <c r="P7" s="77"/>
      <c r="Q7" s="77"/>
      <c r="R7" s="77"/>
      <c r="S7" s="77"/>
    </row>
    <row r="8" spans="1:19" s="149" customFormat="1" ht="30" customHeight="1" x14ac:dyDescent="0.35">
      <c r="A8" s="145"/>
      <c r="B8" s="145"/>
      <c r="C8" s="145"/>
      <c r="D8" s="145"/>
      <c r="E8" s="145"/>
      <c r="F8" s="145" t="s">
        <v>43</v>
      </c>
      <c r="G8" s="145">
        <v>1</v>
      </c>
      <c r="H8" s="146" t="s">
        <v>89</v>
      </c>
      <c r="I8" s="146" t="s">
        <v>707</v>
      </c>
      <c r="J8" s="147" t="s">
        <v>90</v>
      </c>
      <c r="K8" s="148"/>
      <c r="L8" s="148">
        <v>999.99</v>
      </c>
      <c r="M8" s="148">
        <f t="shared" si="0"/>
        <v>0</v>
      </c>
      <c r="N8" s="148">
        <f>SUM(G8*L8)</f>
        <v>999.99</v>
      </c>
      <c r="O8" s="145"/>
      <c r="P8" s="145"/>
      <c r="Q8" s="145"/>
      <c r="R8" s="145"/>
      <c r="S8" s="145"/>
    </row>
    <row r="9" spans="1:19" ht="32.25" customHeight="1" x14ac:dyDescent="0.35">
      <c r="A9" s="77"/>
      <c r="B9" s="77"/>
      <c r="C9" s="77"/>
      <c r="D9" s="77"/>
      <c r="E9" s="77"/>
      <c r="F9" s="77" t="s">
        <v>559</v>
      </c>
      <c r="G9" s="77">
        <v>1</v>
      </c>
      <c r="H9" s="78" t="s">
        <v>287</v>
      </c>
      <c r="I9" s="77" t="s">
        <v>560</v>
      </c>
      <c r="J9" s="82" t="s">
        <v>286</v>
      </c>
      <c r="K9" s="80"/>
      <c r="L9" s="80">
        <v>219.65</v>
      </c>
      <c r="M9" s="80">
        <f t="shared" si="0"/>
        <v>0</v>
      </c>
      <c r="N9" s="80">
        <v>219.65</v>
      </c>
      <c r="O9" s="77"/>
      <c r="P9" s="77"/>
      <c r="Q9" s="77"/>
      <c r="R9" s="77"/>
      <c r="S9" s="77"/>
    </row>
    <row r="10" spans="1:19" x14ac:dyDescent="0.35">
      <c r="A10" s="77"/>
      <c r="B10" s="77"/>
      <c r="C10" s="77"/>
      <c r="D10" s="77"/>
      <c r="E10" s="77"/>
      <c r="F10" s="144" t="s">
        <v>42</v>
      </c>
      <c r="G10" s="77">
        <v>1</v>
      </c>
      <c r="H10" s="77"/>
      <c r="I10" s="77"/>
      <c r="J10" s="77"/>
      <c r="K10" s="80"/>
      <c r="L10" s="80"/>
      <c r="M10" s="80">
        <f t="shared" si="0"/>
        <v>0</v>
      </c>
      <c r="N10" s="80">
        <f>SUM(G10*L10)</f>
        <v>0</v>
      </c>
      <c r="O10" s="77"/>
      <c r="P10" s="77"/>
      <c r="Q10" s="77"/>
      <c r="R10" s="77"/>
      <c r="S10" s="77"/>
    </row>
    <row r="11" spans="1:19" x14ac:dyDescent="0.35">
      <c r="A11" s="77"/>
      <c r="B11" s="77"/>
      <c r="C11" s="77"/>
      <c r="D11" s="77"/>
      <c r="E11" s="77"/>
      <c r="F11" s="78" t="s">
        <v>469</v>
      </c>
      <c r="G11" s="77">
        <v>1</v>
      </c>
      <c r="H11" s="78"/>
      <c r="I11" s="77"/>
      <c r="J11" s="82"/>
      <c r="K11" s="80"/>
      <c r="L11" s="80"/>
      <c r="M11" s="80"/>
      <c r="N11" s="80"/>
      <c r="O11" s="77"/>
      <c r="P11" s="77"/>
      <c r="Q11" s="77"/>
      <c r="R11" s="77"/>
      <c r="S11" s="77"/>
    </row>
    <row r="12" spans="1:19" x14ac:dyDescent="0.35">
      <c r="A12" s="77"/>
      <c r="B12" s="77"/>
      <c r="C12" s="77"/>
      <c r="D12" s="77"/>
      <c r="E12" s="77"/>
      <c r="F12" s="144" t="s">
        <v>318</v>
      </c>
      <c r="G12" s="77">
        <v>1</v>
      </c>
      <c r="H12" s="78"/>
      <c r="I12" s="77"/>
      <c r="J12" s="82"/>
      <c r="K12" s="80"/>
      <c r="L12" s="80"/>
      <c r="M12" s="80"/>
      <c r="N12" s="80"/>
      <c r="O12" s="77"/>
      <c r="P12" s="77"/>
      <c r="Q12" s="77"/>
      <c r="R12" s="77"/>
      <c r="S12" s="77"/>
    </row>
    <row r="13" spans="1:19" ht="116" x14ac:dyDescent="0.35">
      <c r="A13" s="77"/>
      <c r="B13" s="77"/>
      <c r="C13" s="77"/>
      <c r="D13" s="77"/>
      <c r="E13" s="77"/>
      <c r="F13" s="78" t="s">
        <v>320</v>
      </c>
      <c r="G13" s="77"/>
      <c r="H13" s="78"/>
      <c r="I13" s="77"/>
      <c r="J13" s="82" t="s">
        <v>319</v>
      </c>
      <c r="K13" s="80"/>
      <c r="L13" s="80"/>
      <c r="M13" s="80"/>
      <c r="N13" s="80"/>
      <c r="O13" s="77"/>
      <c r="P13" s="77"/>
      <c r="Q13" s="77"/>
      <c r="R13" s="77"/>
      <c r="S13" s="77"/>
    </row>
    <row r="14" spans="1:19" ht="15" thickBot="1" x14ac:dyDescent="0.4">
      <c r="B14" s="11"/>
      <c r="F14" s="11"/>
      <c r="K14" s="12"/>
      <c r="L14" s="13"/>
      <c r="M14" s="12"/>
      <c r="N14" s="15"/>
      <c r="O14" s="14"/>
    </row>
    <row r="15" spans="1:19" ht="15" thickBot="1" x14ac:dyDescent="0.4">
      <c r="A15" s="38"/>
      <c r="B15" s="40"/>
      <c r="C15" s="40"/>
      <c r="D15" s="40"/>
      <c r="E15" s="40"/>
      <c r="F15" s="40"/>
      <c r="G15" s="39"/>
      <c r="H15" s="40"/>
      <c r="I15" s="40"/>
      <c r="J15" s="41"/>
      <c r="K15" s="42"/>
      <c r="L15" s="43"/>
      <c r="M15" s="44" t="s">
        <v>70</v>
      </c>
      <c r="N15" s="45">
        <f>SUM(N5:N14)</f>
        <v>3508.7599999999998</v>
      </c>
      <c r="O15" s="14"/>
    </row>
    <row r="16" spans="1:19" x14ac:dyDescent="0.35">
      <c r="A16" s="18"/>
      <c r="B16" s="19"/>
      <c r="C16" s="18"/>
      <c r="D16" s="18"/>
      <c r="E16" s="18"/>
      <c r="F16" s="51"/>
      <c r="G16" s="52"/>
      <c r="H16" s="51"/>
      <c r="I16" s="51"/>
      <c r="J16" s="53"/>
      <c r="K16" s="54"/>
      <c r="L16" s="55"/>
      <c r="M16" s="56"/>
      <c r="N16" s="57"/>
      <c r="O16" s="14"/>
    </row>
    <row r="17" spans="1:19" ht="87" x14ac:dyDescent="0.35">
      <c r="B17" s="58" t="s">
        <v>39</v>
      </c>
      <c r="C17" s="59" t="s">
        <v>44</v>
      </c>
      <c r="D17" s="59"/>
      <c r="E17" s="59"/>
      <c r="F17" s="20" t="s">
        <v>592</v>
      </c>
      <c r="G17" s="30">
        <v>17</v>
      </c>
      <c r="H17" s="29" t="s">
        <v>52</v>
      </c>
      <c r="I17" s="29"/>
      <c r="J17" s="33" t="s">
        <v>591</v>
      </c>
      <c r="K17" s="31"/>
      <c r="L17" s="32">
        <v>71.39</v>
      </c>
      <c r="M17" s="31">
        <f>SUM(G17*K17)</f>
        <v>0</v>
      </c>
      <c r="N17" s="27">
        <f>SUM(G17*L17)</f>
        <v>1213.6300000000001</v>
      </c>
      <c r="O17" s="14"/>
    </row>
    <row r="18" spans="1:19" x14ac:dyDescent="0.35">
      <c r="B18" s="11"/>
      <c r="F18" s="24"/>
      <c r="K18" s="12"/>
      <c r="L18" s="13"/>
      <c r="M18" s="12"/>
      <c r="N18" s="15"/>
      <c r="O18" s="14"/>
    </row>
    <row r="19" spans="1:19" ht="72.5" x14ac:dyDescent="0.35">
      <c r="B19" s="11"/>
      <c r="F19" s="20" t="s">
        <v>593</v>
      </c>
      <c r="G19" s="30">
        <v>17</v>
      </c>
      <c r="H19" s="29" t="s">
        <v>52</v>
      </c>
      <c r="I19" s="29"/>
      <c r="J19" s="33" t="s">
        <v>53</v>
      </c>
      <c r="K19" s="31"/>
      <c r="L19" s="32">
        <v>89.24</v>
      </c>
      <c r="M19" s="31">
        <f>SUM(G19*K19)</f>
        <v>0</v>
      </c>
      <c r="N19" s="27">
        <f>SUM(G19*L19)</f>
        <v>1517.08</v>
      </c>
      <c r="O19" s="14"/>
    </row>
    <row r="20" spans="1:19" x14ac:dyDescent="0.35">
      <c r="B20" s="11"/>
      <c r="F20" s="24"/>
      <c r="K20" s="12"/>
      <c r="L20" s="13"/>
      <c r="M20" s="12"/>
      <c r="N20" s="15"/>
      <c r="O20" s="14"/>
    </row>
    <row r="21" spans="1:19" ht="29" x14ac:dyDescent="0.35">
      <c r="B21" s="11"/>
      <c r="F21" s="20" t="s">
        <v>69</v>
      </c>
      <c r="G21" s="26">
        <v>5</v>
      </c>
      <c r="H21" s="25" t="s">
        <v>67</v>
      </c>
      <c r="I21" s="25"/>
      <c r="J21" s="23" t="s">
        <v>68</v>
      </c>
      <c r="K21" s="12"/>
      <c r="L21" s="13">
        <v>17.850000000000001</v>
      </c>
      <c r="M21" s="12">
        <f>SUM(G21*K21)</f>
        <v>0</v>
      </c>
      <c r="N21" s="27">
        <f>SUM(G21*L21)</f>
        <v>89.25</v>
      </c>
      <c r="O21" s="14"/>
    </row>
    <row r="22" spans="1:19" ht="29" x14ac:dyDescent="0.35">
      <c r="B22" s="11"/>
      <c r="F22" s="20" t="s">
        <v>65</v>
      </c>
      <c r="G22" s="26">
        <v>5</v>
      </c>
      <c r="H22" s="25" t="s">
        <v>64</v>
      </c>
      <c r="I22" s="25"/>
      <c r="J22" s="23" t="s">
        <v>66</v>
      </c>
      <c r="K22" s="12"/>
      <c r="L22" s="32">
        <v>13.57</v>
      </c>
      <c r="M22" s="12">
        <f>SUM(G22*K22)</f>
        <v>0</v>
      </c>
      <c r="N22" s="27">
        <f>SUM(G22*L22)</f>
        <v>67.849999999999994</v>
      </c>
      <c r="O22" s="14"/>
    </row>
    <row r="23" spans="1:19" x14ac:dyDescent="0.35">
      <c r="B23" s="11"/>
      <c r="F23" s="16"/>
      <c r="K23" s="12"/>
      <c r="L23" s="13"/>
      <c r="M23" s="12"/>
      <c r="N23" s="15"/>
      <c r="O23" s="14"/>
    </row>
    <row r="24" spans="1:19" ht="29" x14ac:dyDescent="0.35">
      <c r="B24" s="11"/>
      <c r="F24" s="20" t="s">
        <v>58</v>
      </c>
      <c r="G24" s="30">
        <v>5</v>
      </c>
      <c r="H24" s="34" t="s">
        <v>54</v>
      </c>
      <c r="I24" s="34"/>
      <c r="J24" s="33" t="s">
        <v>55</v>
      </c>
      <c r="K24" s="31"/>
      <c r="L24" s="32">
        <v>27.85</v>
      </c>
      <c r="M24" s="31">
        <f>SUM(G24*K24)</f>
        <v>0</v>
      </c>
      <c r="N24" s="27">
        <f>SUM(G24*L24)</f>
        <v>139.25</v>
      </c>
      <c r="O24" s="14"/>
    </row>
    <row r="25" spans="1:19" ht="29" x14ac:dyDescent="0.35">
      <c r="B25" s="11"/>
      <c r="F25" s="20" t="s">
        <v>60</v>
      </c>
      <c r="G25" s="30">
        <v>5</v>
      </c>
      <c r="H25" s="34" t="s">
        <v>56</v>
      </c>
      <c r="I25" s="34"/>
      <c r="J25" s="33" t="s">
        <v>57</v>
      </c>
      <c r="K25" s="31"/>
      <c r="L25" s="32">
        <v>53.55</v>
      </c>
      <c r="M25" s="31">
        <f>SUM(G25*K25)</f>
        <v>0</v>
      </c>
      <c r="N25" s="27">
        <f>SUM(G25*L25)</f>
        <v>267.75</v>
      </c>
      <c r="O25" s="14"/>
    </row>
    <row r="26" spans="1:19" ht="29" x14ac:dyDescent="0.35">
      <c r="B26" s="11"/>
      <c r="F26" s="20" t="s">
        <v>61</v>
      </c>
      <c r="G26" s="30">
        <v>5</v>
      </c>
      <c r="H26" s="34" t="s">
        <v>62</v>
      </c>
      <c r="I26" s="34"/>
      <c r="J26" s="33" t="s">
        <v>63</v>
      </c>
      <c r="K26" s="31"/>
      <c r="L26" s="32">
        <v>27.85</v>
      </c>
      <c r="M26" s="31">
        <f>SUM(G26*K26)</f>
        <v>0</v>
      </c>
      <c r="N26" s="27">
        <f>SUM(G26*L26)</f>
        <v>139.25</v>
      </c>
      <c r="O26" s="14"/>
    </row>
    <row r="27" spans="1:19" x14ac:dyDescent="0.35">
      <c r="B27" s="11"/>
      <c r="F27" s="11"/>
      <c r="K27" s="12"/>
      <c r="L27" s="13"/>
      <c r="M27" s="12"/>
      <c r="N27" s="15"/>
      <c r="O27" s="14"/>
    </row>
    <row r="28" spans="1:19" ht="29.5" thickBot="1" x14ac:dyDescent="0.4">
      <c r="B28" s="11"/>
      <c r="F28" s="111" t="s">
        <v>590</v>
      </c>
      <c r="G28" s="35">
        <v>100</v>
      </c>
      <c r="H28" s="36" t="s">
        <v>589</v>
      </c>
      <c r="I28" s="36"/>
      <c r="J28" s="37" t="s">
        <v>588</v>
      </c>
      <c r="K28" s="12"/>
      <c r="L28" s="17">
        <v>26.35</v>
      </c>
      <c r="M28" s="12">
        <f>SUM(G28*K28)</f>
        <v>0</v>
      </c>
      <c r="N28" s="27">
        <f>SUM(G28*L28)</f>
        <v>2635</v>
      </c>
      <c r="O28" s="14"/>
    </row>
    <row r="29" spans="1:19" ht="15" thickBot="1" x14ac:dyDescent="0.4">
      <c r="B29" s="11"/>
      <c r="F29" s="38"/>
      <c r="G29" s="39"/>
      <c r="H29" s="40"/>
      <c r="I29" s="40"/>
      <c r="J29" s="41"/>
      <c r="K29" s="42"/>
      <c r="L29" s="43"/>
      <c r="M29" s="44" t="s">
        <v>70</v>
      </c>
      <c r="N29" s="45">
        <f>SUM(N17:N28)</f>
        <v>6069.0599999999995</v>
      </c>
      <c r="O29" s="14"/>
    </row>
    <row r="30" spans="1:19" x14ac:dyDescent="0.35">
      <c r="B30" s="11"/>
      <c r="F30" s="11"/>
      <c r="K30" s="12"/>
      <c r="L30" s="13"/>
      <c r="M30" s="12"/>
      <c r="N30" s="15"/>
      <c r="O30" s="14"/>
    </row>
    <row r="31" spans="1:19" x14ac:dyDescent="0.35">
      <c r="A31" s="21"/>
      <c r="B31" s="11"/>
      <c r="C31" s="14"/>
      <c r="D31" s="14"/>
      <c r="E31" s="14"/>
      <c r="F31" s="28" t="s">
        <v>45</v>
      </c>
      <c r="G31" s="14">
        <v>1</v>
      </c>
      <c r="H31" s="14" t="s">
        <v>74</v>
      </c>
      <c r="I31" s="14"/>
      <c r="J31" s="48" t="s">
        <v>75</v>
      </c>
      <c r="K31" s="12"/>
      <c r="L31" s="15">
        <v>1279.99</v>
      </c>
      <c r="M31" s="12">
        <f>SUM(G31*K31)</f>
        <v>0</v>
      </c>
      <c r="N31" s="27">
        <f>SUM(G31*L31)</f>
        <v>1279.99</v>
      </c>
      <c r="O31" s="14"/>
      <c r="P31" s="14"/>
      <c r="Q31" s="14"/>
      <c r="R31" s="14"/>
      <c r="S31" s="14"/>
    </row>
    <row r="32" spans="1:19" ht="43.5" x14ac:dyDescent="0.35">
      <c r="B32" s="11"/>
      <c r="F32" s="20" t="s">
        <v>73</v>
      </c>
      <c r="G32" s="22">
        <v>1</v>
      </c>
      <c r="H32" s="25" t="s">
        <v>72</v>
      </c>
      <c r="I32" s="25"/>
      <c r="J32" s="47" t="s">
        <v>71</v>
      </c>
      <c r="K32" s="12"/>
      <c r="L32" s="13">
        <v>1139.83</v>
      </c>
      <c r="M32" s="12">
        <f>SUM(G32*K32)</f>
        <v>0</v>
      </c>
      <c r="N32" s="27">
        <f>SUM(G32*L32)</f>
        <v>1139.83</v>
      </c>
      <c r="O32" s="14"/>
    </row>
    <row r="33" spans="1:16" ht="43.5" x14ac:dyDescent="0.35">
      <c r="B33" s="11"/>
      <c r="F33" s="11" t="s">
        <v>46</v>
      </c>
      <c r="G33" s="22">
        <v>2</v>
      </c>
      <c r="H33" s="25" t="s">
        <v>77</v>
      </c>
      <c r="I33" s="25"/>
      <c r="J33" s="23" t="s">
        <v>76</v>
      </c>
      <c r="K33" s="12"/>
      <c r="L33" s="13">
        <v>57.11</v>
      </c>
      <c r="M33" s="12">
        <f>SUM(G33*K33)</f>
        <v>0</v>
      </c>
      <c r="N33" s="15">
        <f>SUM(G33*L33)</f>
        <v>114.22</v>
      </c>
      <c r="O33" s="14"/>
    </row>
    <row r="34" spans="1:16" x14ac:dyDescent="0.35">
      <c r="B34" s="11"/>
      <c r="F34" s="11"/>
      <c r="K34" s="12"/>
      <c r="L34" s="13"/>
      <c r="M34" s="12"/>
      <c r="N34" s="15"/>
      <c r="O34" s="14"/>
    </row>
    <row r="35" spans="1:16" x14ac:dyDescent="0.35">
      <c r="B35" s="11"/>
      <c r="F35" s="28" t="s">
        <v>47</v>
      </c>
      <c r="G35" s="29">
        <v>20</v>
      </c>
      <c r="H35" s="29" t="s">
        <v>49</v>
      </c>
      <c r="I35" s="29"/>
      <c r="J35" s="33"/>
      <c r="K35" s="31">
        <v>125.21</v>
      </c>
      <c r="L35" s="46">
        <v>149</v>
      </c>
      <c r="M35" s="31">
        <f>SUM(G35*K35)</f>
        <v>2504.1999999999998</v>
      </c>
      <c r="N35" s="27">
        <f>SUM(G35*L35)</f>
        <v>2980</v>
      </c>
      <c r="O35" s="14"/>
    </row>
    <row r="36" spans="1:16" x14ac:dyDescent="0.35">
      <c r="B36" s="11"/>
      <c r="F36" s="11"/>
      <c r="G36" s="29"/>
      <c r="H36" s="29"/>
      <c r="I36" s="29"/>
      <c r="J36" s="29"/>
      <c r="K36" s="31"/>
      <c r="L36" s="32"/>
      <c r="M36" s="31"/>
      <c r="N36" s="15"/>
      <c r="O36" s="14"/>
    </row>
    <row r="37" spans="1:16" ht="29" x14ac:dyDescent="0.35">
      <c r="B37" s="11"/>
      <c r="F37" s="20" t="s">
        <v>51</v>
      </c>
      <c r="G37" s="29">
        <v>15</v>
      </c>
      <c r="H37" s="29" t="s">
        <v>50</v>
      </c>
      <c r="I37" s="29"/>
      <c r="J37" s="29" t="s">
        <v>59</v>
      </c>
      <c r="K37" s="31">
        <v>234.5</v>
      </c>
      <c r="L37" s="32">
        <v>279</v>
      </c>
      <c r="M37" s="31">
        <f>SUM(G37*K37)</f>
        <v>3517.5</v>
      </c>
      <c r="N37" s="27">
        <f>SUM(G37*L37)</f>
        <v>4185</v>
      </c>
      <c r="O37" s="14"/>
    </row>
    <row r="38" spans="1:16" x14ac:dyDescent="0.35">
      <c r="B38" s="11"/>
      <c r="F38" s="11"/>
      <c r="K38" s="12"/>
      <c r="L38" s="13"/>
      <c r="M38" s="12"/>
      <c r="N38" s="15"/>
      <c r="O38" s="14"/>
    </row>
    <row r="39" spans="1:16" ht="29.5" thickBot="1" x14ac:dyDescent="0.4">
      <c r="B39" s="11"/>
      <c r="F39" s="28" t="s">
        <v>48</v>
      </c>
      <c r="G39" s="10">
        <v>4</v>
      </c>
      <c r="H39" s="25" t="s">
        <v>79</v>
      </c>
      <c r="I39" s="25"/>
      <c r="J39" s="23" t="s">
        <v>78</v>
      </c>
      <c r="K39" s="13">
        <v>994.39</v>
      </c>
      <c r="L39" s="13">
        <v>1183.32</v>
      </c>
      <c r="M39" s="12">
        <f>SUM(G39*K39)</f>
        <v>3977.56</v>
      </c>
      <c r="N39" s="27">
        <f>SUM(G39*L39)</f>
        <v>4733.28</v>
      </c>
      <c r="O39" s="14"/>
      <c r="P39" s="14"/>
    </row>
    <row r="40" spans="1:16" ht="15" thickBot="1" x14ac:dyDescent="0.4">
      <c r="B40" s="11"/>
      <c r="F40" s="38"/>
      <c r="G40" s="39"/>
      <c r="H40" s="40"/>
      <c r="I40" s="40"/>
      <c r="J40" s="41"/>
      <c r="K40" s="42"/>
      <c r="L40" s="43"/>
      <c r="M40" s="44" t="s">
        <v>70</v>
      </c>
      <c r="N40" s="45">
        <f>SUM(N31:N39)</f>
        <v>14432.32</v>
      </c>
      <c r="O40" s="14"/>
    </row>
    <row r="41" spans="1:16" x14ac:dyDescent="0.35">
      <c r="A41" s="14"/>
      <c r="B41" s="14"/>
      <c r="C41" s="14"/>
      <c r="D41" s="14"/>
      <c r="E41" s="14"/>
      <c r="F41" s="14"/>
      <c r="J41" s="49"/>
      <c r="K41" s="17"/>
      <c r="L41" s="50"/>
      <c r="M41" s="50"/>
      <c r="N41" s="50"/>
      <c r="O41" s="14"/>
    </row>
  </sheetData>
  <conditionalFormatting sqref="D4:E4">
    <cfRule type="containsText" dxfId="23" priority="1" operator="containsText" text="Dienstleistung">
      <formula>NOT(ISERROR(SEARCH("Dienstleistung",D4)))</formula>
    </cfRule>
  </conditionalFormatting>
  <hyperlinks>
    <hyperlink ref="J19" r:id="rId1" xr:uid="{9975E661-46F9-4532-9082-B4060303DD88}"/>
    <hyperlink ref="J24" r:id="rId2" xr:uid="{58AB1046-77D8-4134-88E3-5143B71AA922}"/>
    <hyperlink ref="J25" r:id="rId3" xr:uid="{1EC48F94-C50B-4CA4-ABA6-562FD909B3FB}"/>
    <hyperlink ref="J26" r:id="rId4" xr:uid="{63B50905-381A-428E-82F8-3BEC8E1E1A9A}"/>
    <hyperlink ref="J22" r:id="rId5" xr:uid="{42F87772-19B4-4CAE-89C5-0E183E90830C}"/>
    <hyperlink ref="J28" r:id="rId6" xr:uid="{F3D07461-0DE7-47BE-86BE-DE851917DD9A}"/>
    <hyperlink ref="J32" r:id="rId7" xr:uid="{5984FD1F-8514-454C-8C5F-79B2928454FF}"/>
    <hyperlink ref="J31" r:id="rId8" xr:uid="{180C6846-FF9D-451B-BD6D-E0E066E2AB2E}"/>
    <hyperlink ref="J33" r:id="rId9" xr:uid="{3EDD29AB-1DFC-4A20-A4D4-6D18960CBED1}"/>
    <hyperlink ref="J39" r:id="rId10" display="https://www.vispronet.de/sonnenschirme-sichtschutz/grossschirme-basic-mit-seilzug-3-4-m/werbeschirme-sonnenschirme/?200=2859&amp;183=1&amp;182=193&amp;525=1&amp;649=0&amp;653=0&amp;657=0&amp;661=0&amp;744=0&amp;754=0&amp;764=0&amp;774=0&amp;784=0&amp;794=0&amp;804=0&amp;814=0&amp;824=0&amp;834=0&amp;f=2647&amp;ef=669&amp;utm_term=&amp;device=c&amp;matchtype=&amp;gclid=EAIaIQobChMIl_iawZWZkAMVrJWDBx0SExvoEAQYAiABEgLgV_D_BwE&amp;utm_source=google&amp;utm_medium=cpc&amp;utm_campaign=Shopping_DE&amp;gad_source=1&amp;gad_campaignid=21854090040&amp;gbraid=0AAAAADjEoE2zSR1-OLvIGiZsyBrwaNquq" xr:uid="{C4DB239D-4286-4945-9EE7-266E982FECDD}"/>
    <hyperlink ref="J5" r:id="rId11" xr:uid="{BB29BB1E-F0BB-4303-9C0A-43367269B617}"/>
    <hyperlink ref="J7" r:id="rId12" xr:uid="{3E99FED2-428F-49BA-BB13-5DBCC608D4BA}"/>
    <hyperlink ref="J6" r:id="rId13" xr:uid="{6C9535CC-E59B-4864-9815-D75DA70FA3B2}"/>
    <hyperlink ref="J8" r:id="rId14" xr:uid="{01AC9E7E-71B2-4FDE-AA38-46990B086E24}"/>
    <hyperlink ref="J9" r:id="rId15" xr:uid="{92A535FE-AB84-44C9-91FE-47A5F761106E}"/>
    <hyperlink ref="J17" r:id="rId16" xr:uid="{CC4F1DF2-A0BC-474E-B8F4-952ADBA3CE78}"/>
    <hyperlink ref="J21" r:id="rId17" xr:uid="{8E24AFFB-4C59-44A8-851F-2DD16DA1B6C9}"/>
  </hyperlinks>
  <pageMargins left="0.25" right="0.25" top="0.75" bottom="0.75" header="0.3" footer="0.3"/>
  <pageSetup paperSize="8" scale="57" fitToHeight="0" orientation="landscape" r:id="rId1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DA-E50E-4A2A-8CBE-1717B1D96607}">
  <sheetPr>
    <pageSetUpPr fitToPage="1"/>
  </sheetPr>
  <dimension ref="A1:CK200"/>
  <sheetViews>
    <sheetView tabSelected="1" zoomScale="70" zoomScaleNormal="70" workbookViewId="0">
      <pane ySplit="1" topLeftCell="A2" activePane="bottomLeft" state="frozen"/>
      <selection activeCell="E1" sqref="E1"/>
      <selection pane="bottomLeft" activeCell="J210" sqref="J210"/>
    </sheetView>
  </sheetViews>
  <sheetFormatPr baseColWidth="10" defaultRowHeight="14.5" outlineLevelRow="2" x14ac:dyDescent="0.35"/>
  <cols>
    <col min="1" max="1" width="11.453125" style="126"/>
    <col min="2" max="2" width="17.54296875" customWidth="1"/>
    <col min="3" max="3" width="23" style="8" customWidth="1"/>
    <col min="4" max="4" width="33.453125" bestFit="1" customWidth="1"/>
    <col min="5" max="5" width="33.453125" customWidth="1"/>
    <col min="6" max="6" width="63" customWidth="1"/>
    <col min="7" max="7" width="9.81640625" style="8" bestFit="1" customWidth="1"/>
    <col min="8" max="8" width="36.453125" customWidth="1"/>
    <col min="9" max="9" width="25.7265625" bestFit="1" customWidth="1"/>
    <col min="10" max="10" width="27.453125" style="164" customWidth="1"/>
    <col min="11" max="11" width="17.453125" style="7" bestFit="1" customWidth="1"/>
    <col min="12" max="12" width="18.1796875" style="7" bestFit="1" customWidth="1"/>
    <col min="13" max="13" width="18.81640625" style="7" bestFit="1" customWidth="1"/>
    <col min="14" max="14" width="19.81640625" style="3" bestFit="1" customWidth="1"/>
    <col min="15" max="15" width="20.54296875" customWidth="1"/>
  </cols>
  <sheetData>
    <row r="1" spans="1:89" ht="15" customHeight="1" x14ac:dyDescent="0.45">
      <c r="A1" s="123"/>
      <c r="B1" s="68"/>
      <c r="C1" s="68"/>
      <c r="D1" s="68"/>
      <c r="E1" s="68"/>
      <c r="F1" s="68"/>
      <c r="G1" s="68"/>
      <c r="H1" s="68"/>
      <c r="I1" s="68"/>
      <c r="J1" s="152"/>
      <c r="K1" s="73"/>
      <c r="L1" s="73"/>
      <c r="M1" s="73" t="s">
        <v>700</v>
      </c>
      <c r="N1" s="86">
        <f>SUM(N51+N67+N115+N146+N183+N200)</f>
        <v>237085.46999999997</v>
      </c>
      <c r="O1" s="68"/>
      <c r="P1" s="68"/>
      <c r="Q1" s="68"/>
      <c r="R1" s="68"/>
      <c r="S1" s="68"/>
    </row>
    <row r="2" spans="1:89" ht="15" customHeight="1" x14ac:dyDescent="0.35">
      <c r="A2" s="124" t="s">
        <v>34</v>
      </c>
      <c r="B2" s="76" t="s">
        <v>10</v>
      </c>
      <c r="C2" s="76" t="s">
        <v>11</v>
      </c>
      <c r="D2" s="76" t="s">
        <v>94</v>
      </c>
      <c r="E2" s="76" t="s">
        <v>562</v>
      </c>
      <c r="F2" s="76" t="s">
        <v>563</v>
      </c>
      <c r="G2" s="76" t="s">
        <v>2</v>
      </c>
      <c r="H2" s="76" t="s">
        <v>207</v>
      </c>
      <c r="I2" s="76" t="s">
        <v>7</v>
      </c>
      <c r="J2" s="153" t="s">
        <v>8</v>
      </c>
      <c r="K2" s="88" t="s">
        <v>254</v>
      </c>
      <c r="L2" s="88" t="s">
        <v>4</v>
      </c>
      <c r="M2" s="88" t="s">
        <v>5</v>
      </c>
      <c r="N2" s="88" t="s">
        <v>6</v>
      </c>
      <c r="O2" s="76" t="s">
        <v>28</v>
      </c>
      <c r="P2" s="76" t="s">
        <v>32</v>
      </c>
      <c r="Q2" s="76" t="s">
        <v>29</v>
      </c>
      <c r="R2" s="76" t="s">
        <v>30</v>
      </c>
      <c r="S2" s="76" t="s">
        <v>31</v>
      </c>
      <c r="T2" s="134"/>
      <c r="U2" s="133"/>
      <c r="V2" s="133"/>
      <c r="W2" s="133"/>
      <c r="X2" s="133"/>
      <c r="Y2" s="133"/>
      <c r="Z2" s="133"/>
      <c r="AA2" s="133"/>
      <c r="AB2" s="135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</row>
    <row r="3" spans="1:89" ht="15" customHeight="1" x14ac:dyDescent="0.35">
      <c r="A3" s="127" t="s">
        <v>96</v>
      </c>
      <c r="B3" s="68" t="s">
        <v>92</v>
      </c>
      <c r="C3" s="68" t="s">
        <v>93</v>
      </c>
      <c r="D3" s="141" t="s">
        <v>586</v>
      </c>
      <c r="E3" s="141" t="s">
        <v>119</v>
      </c>
      <c r="F3" s="141"/>
      <c r="G3" s="68">
        <v>1</v>
      </c>
      <c r="H3" s="68" t="s">
        <v>146</v>
      </c>
      <c r="I3" s="69" t="s">
        <v>120</v>
      </c>
      <c r="J3" s="154" t="s">
        <v>121</v>
      </c>
      <c r="K3" s="101">
        <v>1066.3900000000001</v>
      </c>
      <c r="L3" s="101">
        <v>1269</v>
      </c>
      <c r="M3" s="73">
        <f>SUM(G3*K3)</f>
        <v>1066.3900000000001</v>
      </c>
      <c r="N3" s="73">
        <f t="shared" ref="N3:N33" si="0">SUM(G3*L3)</f>
        <v>1269</v>
      </c>
      <c r="O3" s="68"/>
      <c r="P3" s="68"/>
      <c r="Q3" s="68"/>
      <c r="R3" s="68"/>
      <c r="S3" s="68"/>
      <c r="T3" s="134"/>
      <c r="U3" s="134"/>
      <c r="V3" s="134"/>
      <c r="W3" s="134"/>
      <c r="X3" s="134"/>
      <c r="Y3" s="134"/>
      <c r="Z3" s="134"/>
      <c r="AA3" s="134"/>
      <c r="AB3" s="135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  <c r="BF3" s="134"/>
      <c r="BG3" s="134"/>
      <c r="BH3" s="134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  <c r="BW3" s="134"/>
      <c r="BX3" s="134"/>
      <c r="BY3" s="134"/>
      <c r="BZ3" s="134"/>
      <c r="CA3" s="134"/>
      <c r="CB3" s="134"/>
      <c r="CC3" s="134"/>
      <c r="CD3" s="134"/>
      <c r="CE3" s="134"/>
      <c r="CF3" s="134"/>
      <c r="CG3" s="134"/>
      <c r="CH3" s="134"/>
      <c r="CI3" s="134"/>
      <c r="CJ3" s="134"/>
      <c r="CK3" s="134"/>
    </row>
    <row r="4" spans="1:89" ht="15" customHeight="1" x14ac:dyDescent="0.35">
      <c r="A4" s="123" t="s">
        <v>97</v>
      </c>
      <c r="B4" s="68" t="s">
        <v>92</v>
      </c>
      <c r="C4" s="68" t="s">
        <v>93</v>
      </c>
      <c r="D4" s="141" t="s">
        <v>586</v>
      </c>
      <c r="E4" s="141" t="s">
        <v>43</v>
      </c>
      <c r="F4" s="141" t="s">
        <v>43</v>
      </c>
      <c r="G4" s="68">
        <v>1</v>
      </c>
      <c r="H4" s="68" t="s">
        <v>122</v>
      </c>
      <c r="I4" s="69" t="s">
        <v>124</v>
      </c>
      <c r="J4" s="154" t="s">
        <v>123</v>
      </c>
      <c r="K4" s="101"/>
      <c r="L4" s="101">
        <v>1845</v>
      </c>
      <c r="M4" s="73"/>
      <c r="N4" s="73">
        <f t="shared" si="0"/>
        <v>1845</v>
      </c>
      <c r="O4" s="68"/>
      <c r="P4" s="68"/>
      <c r="Q4" s="68"/>
      <c r="R4" s="68"/>
      <c r="S4" s="68"/>
      <c r="T4" s="134"/>
      <c r="U4" s="134"/>
      <c r="V4" s="134"/>
      <c r="W4" s="134"/>
      <c r="X4" s="134"/>
      <c r="Y4" s="134"/>
      <c r="Z4" s="134"/>
      <c r="AA4" s="134"/>
      <c r="AB4" s="135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</row>
    <row r="5" spans="1:89" ht="15" customHeight="1" x14ac:dyDescent="0.35">
      <c r="A5" s="123" t="s">
        <v>98</v>
      </c>
      <c r="B5" s="68" t="s">
        <v>92</v>
      </c>
      <c r="C5" s="68" t="s">
        <v>93</v>
      </c>
      <c r="D5" s="141" t="s">
        <v>586</v>
      </c>
      <c r="E5" s="141" t="s">
        <v>584</v>
      </c>
      <c r="F5" s="141" t="s">
        <v>125</v>
      </c>
      <c r="G5" s="68">
        <v>1</v>
      </c>
      <c r="H5" s="68" t="s">
        <v>126</v>
      </c>
      <c r="I5" s="69" t="s">
        <v>82</v>
      </c>
      <c r="J5" s="154" t="s">
        <v>127</v>
      </c>
      <c r="K5" s="101"/>
      <c r="L5" s="101">
        <v>859.99</v>
      </c>
      <c r="M5" s="73"/>
      <c r="N5" s="73">
        <f t="shared" si="0"/>
        <v>859.99</v>
      </c>
      <c r="O5" s="68"/>
      <c r="P5" s="68"/>
      <c r="Q5" s="68"/>
      <c r="R5" s="68"/>
      <c r="S5" s="68"/>
      <c r="T5" s="134"/>
      <c r="U5" s="134"/>
      <c r="V5" s="134"/>
      <c r="W5" s="134"/>
      <c r="X5" s="134"/>
      <c r="Y5" s="134"/>
      <c r="Z5" s="134"/>
      <c r="AA5" s="134"/>
      <c r="AB5" s="135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4"/>
      <c r="BN5" s="134"/>
      <c r="BO5" s="134"/>
      <c r="BP5" s="134"/>
      <c r="BQ5" s="134"/>
      <c r="BR5" s="134"/>
      <c r="BS5" s="134"/>
      <c r="BT5" s="134"/>
      <c r="BU5" s="134"/>
      <c r="BV5" s="134"/>
      <c r="BW5" s="134"/>
      <c r="BX5" s="134"/>
      <c r="BY5" s="134"/>
      <c r="BZ5" s="134"/>
      <c r="CA5" s="134"/>
      <c r="CB5" s="134"/>
      <c r="CC5" s="134"/>
      <c r="CD5" s="134"/>
      <c r="CE5" s="134"/>
      <c r="CF5" s="134"/>
      <c r="CG5" s="134"/>
      <c r="CH5" s="134"/>
      <c r="CI5" s="134"/>
      <c r="CJ5" s="134"/>
      <c r="CK5" s="134"/>
    </row>
    <row r="6" spans="1:89" ht="15" customHeight="1" x14ac:dyDescent="0.35">
      <c r="A6" s="123" t="s">
        <v>99</v>
      </c>
      <c r="B6" s="68" t="s">
        <v>92</v>
      </c>
      <c r="C6" s="68" t="s">
        <v>93</v>
      </c>
      <c r="D6" s="141" t="s">
        <v>586</v>
      </c>
      <c r="E6" s="141" t="s">
        <v>416</v>
      </c>
      <c r="F6" s="141" t="s">
        <v>128</v>
      </c>
      <c r="G6" s="69">
        <v>1</v>
      </c>
      <c r="H6" s="68" t="s">
        <v>130</v>
      </c>
      <c r="I6" s="69" t="s">
        <v>129</v>
      </c>
      <c r="J6" s="154" t="s">
        <v>131</v>
      </c>
      <c r="K6" s="101">
        <v>1489.99</v>
      </c>
      <c r="L6" s="101">
        <v>1773.09</v>
      </c>
      <c r="M6" s="73">
        <f>SUM(G6*K6)</f>
        <v>1489.99</v>
      </c>
      <c r="N6" s="73">
        <f t="shared" si="0"/>
        <v>1773.09</v>
      </c>
      <c r="O6" s="68"/>
      <c r="P6" s="68"/>
      <c r="Q6" s="68"/>
      <c r="R6" s="68"/>
      <c r="S6" s="68"/>
      <c r="T6" s="134"/>
      <c r="U6" s="134"/>
      <c r="V6" s="134"/>
      <c r="W6" s="134"/>
      <c r="X6" s="134"/>
      <c r="Y6" s="134"/>
      <c r="Z6" s="134"/>
      <c r="AA6" s="134"/>
      <c r="AB6" s="135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4"/>
      <c r="CD6" s="134"/>
      <c r="CE6" s="134"/>
      <c r="CF6" s="134"/>
      <c r="CG6" s="134"/>
      <c r="CH6" s="134"/>
      <c r="CI6" s="134"/>
      <c r="CJ6" s="134"/>
      <c r="CK6" s="134"/>
    </row>
    <row r="7" spans="1:89" ht="15" customHeight="1" x14ac:dyDescent="0.35">
      <c r="A7" s="123" t="s">
        <v>100</v>
      </c>
      <c r="B7" s="68" t="s">
        <v>92</v>
      </c>
      <c r="C7" s="68" t="s">
        <v>93</v>
      </c>
      <c r="D7" s="150" t="s">
        <v>586</v>
      </c>
      <c r="E7" s="150" t="s">
        <v>132</v>
      </c>
      <c r="F7" s="150"/>
      <c r="G7" s="68">
        <v>1</v>
      </c>
      <c r="H7" s="68" t="s">
        <v>133</v>
      </c>
      <c r="I7" s="69" t="s">
        <v>134</v>
      </c>
      <c r="J7" s="154" t="s">
        <v>135</v>
      </c>
      <c r="K7" s="101"/>
      <c r="L7" s="101">
        <v>2799</v>
      </c>
      <c r="M7" s="73"/>
      <c r="N7" s="73">
        <f t="shared" si="0"/>
        <v>2799</v>
      </c>
      <c r="O7" s="68"/>
      <c r="P7" s="68"/>
      <c r="Q7" s="68"/>
      <c r="R7" s="68"/>
      <c r="S7" s="68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  <c r="BC7" s="134"/>
      <c r="BD7" s="134"/>
      <c r="BE7" s="134"/>
      <c r="BF7" s="134"/>
      <c r="BG7" s="134"/>
      <c r="BH7" s="134"/>
      <c r="BI7" s="134"/>
      <c r="BJ7" s="134"/>
      <c r="BK7" s="134"/>
      <c r="BL7" s="134"/>
      <c r="BM7" s="134"/>
      <c r="BN7" s="134"/>
      <c r="BO7" s="134"/>
      <c r="BP7" s="134"/>
      <c r="BQ7" s="134"/>
      <c r="BR7" s="134"/>
      <c r="BS7" s="134"/>
      <c r="BT7" s="134"/>
      <c r="BU7" s="134"/>
      <c r="BV7" s="134"/>
      <c r="BW7" s="134"/>
      <c r="BX7" s="134"/>
      <c r="BY7" s="134"/>
      <c r="BZ7" s="134"/>
      <c r="CA7" s="134"/>
      <c r="CB7" s="134"/>
      <c r="CC7" s="134"/>
      <c r="CD7" s="134"/>
      <c r="CE7" s="134"/>
      <c r="CF7" s="134"/>
      <c r="CG7" s="134"/>
      <c r="CH7" s="134"/>
      <c r="CI7" s="134"/>
      <c r="CJ7" s="134"/>
      <c r="CK7" s="134"/>
    </row>
    <row r="8" spans="1:89" ht="15" customHeight="1" x14ac:dyDescent="0.35">
      <c r="A8" s="123" t="s">
        <v>101</v>
      </c>
      <c r="B8" s="68" t="s">
        <v>92</v>
      </c>
      <c r="C8" s="68" t="s">
        <v>93</v>
      </c>
      <c r="D8" s="150" t="s">
        <v>136</v>
      </c>
      <c r="E8" s="150" t="s">
        <v>137</v>
      </c>
      <c r="F8" s="150"/>
      <c r="G8" s="68">
        <v>1</v>
      </c>
      <c r="H8" s="68" t="s">
        <v>141</v>
      </c>
      <c r="I8" s="69" t="s">
        <v>138</v>
      </c>
      <c r="J8" s="154" t="s">
        <v>139</v>
      </c>
      <c r="K8" s="101">
        <v>299.99</v>
      </c>
      <c r="L8" s="101">
        <v>356.99</v>
      </c>
      <c r="M8" s="73">
        <f>SUM(G8*K8)</f>
        <v>299.99</v>
      </c>
      <c r="N8" s="73">
        <f t="shared" si="0"/>
        <v>356.99</v>
      </c>
      <c r="O8" s="68"/>
      <c r="P8" s="68"/>
      <c r="Q8" s="68"/>
      <c r="R8" s="68"/>
      <c r="S8" s="68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  <c r="BF8" s="134"/>
      <c r="BG8" s="134"/>
      <c r="BH8" s="134"/>
      <c r="BI8" s="134"/>
      <c r="BJ8" s="134"/>
      <c r="BK8" s="134"/>
      <c r="BL8" s="134"/>
      <c r="BM8" s="134"/>
      <c r="BN8" s="134"/>
      <c r="BO8" s="134"/>
      <c r="BP8" s="134"/>
      <c r="BQ8" s="134"/>
      <c r="BR8" s="134"/>
      <c r="BS8" s="134"/>
      <c r="BT8" s="134"/>
      <c r="BU8" s="134"/>
      <c r="BV8" s="134"/>
      <c r="BW8" s="134"/>
      <c r="BX8" s="134"/>
      <c r="BY8" s="134"/>
      <c r="BZ8" s="134"/>
      <c r="CA8" s="134"/>
      <c r="CB8" s="134"/>
      <c r="CC8" s="134"/>
      <c r="CD8" s="134"/>
      <c r="CE8" s="134"/>
      <c r="CF8" s="134"/>
      <c r="CG8" s="134"/>
      <c r="CH8" s="134"/>
      <c r="CI8" s="134"/>
      <c r="CJ8" s="134"/>
      <c r="CK8" s="134"/>
    </row>
    <row r="9" spans="1:89" ht="15" customHeight="1" x14ac:dyDescent="0.35">
      <c r="A9" s="123" t="s">
        <v>102</v>
      </c>
      <c r="B9" s="68" t="s">
        <v>92</v>
      </c>
      <c r="C9" s="68" t="s">
        <v>93</v>
      </c>
      <c r="D9" s="150" t="s">
        <v>136</v>
      </c>
      <c r="E9" s="150" t="s">
        <v>42</v>
      </c>
      <c r="F9" s="150"/>
      <c r="G9" s="69">
        <v>1</v>
      </c>
      <c r="H9" s="68" t="s">
        <v>142</v>
      </c>
      <c r="I9" s="69" t="s">
        <v>82</v>
      </c>
      <c r="J9" s="154" t="s">
        <v>270</v>
      </c>
      <c r="K9" s="101"/>
      <c r="L9" s="101">
        <v>99.9</v>
      </c>
      <c r="M9" s="73"/>
      <c r="N9" s="73">
        <f t="shared" si="0"/>
        <v>99.9</v>
      </c>
      <c r="O9" s="68"/>
      <c r="P9" s="68"/>
      <c r="Q9" s="68"/>
      <c r="R9" s="68"/>
      <c r="S9" s="68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34"/>
      <c r="BT9" s="134"/>
      <c r="BU9" s="134"/>
      <c r="BV9" s="134"/>
      <c r="BW9" s="134"/>
      <c r="BX9" s="134"/>
      <c r="BY9" s="134"/>
      <c r="BZ9" s="134"/>
      <c r="CA9" s="134"/>
      <c r="CB9" s="134"/>
      <c r="CC9" s="134"/>
      <c r="CD9" s="134"/>
      <c r="CE9" s="134"/>
      <c r="CF9" s="134"/>
      <c r="CG9" s="134"/>
      <c r="CH9" s="134"/>
      <c r="CI9" s="134"/>
      <c r="CJ9" s="134"/>
      <c r="CK9" s="134"/>
    </row>
    <row r="10" spans="1:89" ht="15" customHeight="1" x14ac:dyDescent="0.35">
      <c r="A10" s="123" t="s">
        <v>103</v>
      </c>
      <c r="B10" s="68" t="s">
        <v>92</v>
      </c>
      <c r="C10" s="68" t="s">
        <v>93</v>
      </c>
      <c r="D10" s="150" t="s">
        <v>586</v>
      </c>
      <c r="E10" s="150" t="s">
        <v>301</v>
      </c>
      <c r="F10" s="150" t="s">
        <v>140</v>
      </c>
      <c r="G10" s="68">
        <v>1</v>
      </c>
      <c r="H10" s="68" t="s">
        <v>145</v>
      </c>
      <c r="I10" s="69" t="s">
        <v>144</v>
      </c>
      <c r="J10" s="154" t="s">
        <v>143</v>
      </c>
      <c r="K10" s="101"/>
      <c r="L10" s="101">
        <v>409</v>
      </c>
      <c r="M10" s="73"/>
      <c r="N10" s="73">
        <f t="shared" si="0"/>
        <v>409</v>
      </c>
      <c r="O10" s="68"/>
      <c r="P10" s="68"/>
      <c r="Q10" s="68"/>
      <c r="R10" s="68"/>
      <c r="S10" s="68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  <c r="BK10" s="134"/>
      <c r="BL10" s="134"/>
      <c r="BM10" s="134"/>
      <c r="BN10" s="134"/>
      <c r="BO10" s="134"/>
      <c r="BP10" s="134"/>
      <c r="BQ10" s="134"/>
      <c r="BR10" s="134"/>
      <c r="BS10" s="134"/>
      <c r="BT10" s="134"/>
      <c r="BU10" s="134"/>
      <c r="BV10" s="134"/>
      <c r="BW10" s="134"/>
      <c r="BX10" s="134"/>
      <c r="BY10" s="134"/>
      <c r="BZ10" s="134"/>
      <c r="CA10" s="134"/>
      <c r="CB10" s="134"/>
      <c r="CC10" s="134"/>
      <c r="CD10" s="134"/>
      <c r="CE10" s="134"/>
      <c r="CF10" s="134"/>
      <c r="CG10" s="134"/>
      <c r="CH10" s="134"/>
      <c r="CI10" s="134"/>
      <c r="CJ10" s="134"/>
      <c r="CK10" s="134"/>
    </row>
    <row r="11" spans="1:89" ht="15" customHeight="1" x14ac:dyDescent="0.35">
      <c r="A11" s="123" t="s">
        <v>104</v>
      </c>
      <c r="B11" s="68" t="s">
        <v>92</v>
      </c>
      <c r="C11" s="68" t="s">
        <v>93</v>
      </c>
      <c r="D11" s="69" t="s">
        <v>586</v>
      </c>
      <c r="E11" s="69" t="s">
        <v>9</v>
      </c>
      <c r="F11" s="69" t="s">
        <v>572</v>
      </c>
      <c r="G11" s="68">
        <v>1</v>
      </c>
      <c r="H11" s="68" t="s">
        <v>14</v>
      </c>
      <c r="I11" s="69" t="s">
        <v>14</v>
      </c>
      <c r="J11" s="154" t="s">
        <v>147</v>
      </c>
      <c r="K11" s="101"/>
      <c r="L11" s="101">
        <v>1799</v>
      </c>
      <c r="M11" s="73"/>
      <c r="N11" s="73">
        <f t="shared" si="0"/>
        <v>1799</v>
      </c>
      <c r="O11" s="68"/>
      <c r="P11" s="68"/>
      <c r="Q11" s="68"/>
      <c r="R11" s="68"/>
      <c r="S11" s="68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/>
      <c r="CC11" s="134"/>
      <c r="CD11" s="134"/>
      <c r="CE11" s="134"/>
      <c r="CF11" s="134"/>
      <c r="CG11" s="134"/>
      <c r="CH11" s="134"/>
      <c r="CI11" s="134"/>
      <c r="CJ11" s="134"/>
      <c r="CK11" s="134"/>
    </row>
    <row r="12" spans="1:89" ht="15" customHeight="1" x14ac:dyDescent="0.35">
      <c r="A12" s="123" t="s">
        <v>105</v>
      </c>
      <c r="B12" s="68" t="s">
        <v>92</v>
      </c>
      <c r="C12" s="68" t="s">
        <v>93</v>
      </c>
      <c r="D12" s="69" t="s">
        <v>586</v>
      </c>
      <c r="E12" s="69" t="s">
        <v>577</v>
      </c>
      <c r="F12" s="69" t="s">
        <v>148</v>
      </c>
      <c r="G12" s="68">
        <v>1</v>
      </c>
      <c r="H12" s="68" t="s">
        <v>14</v>
      </c>
      <c r="I12" s="69" t="s">
        <v>14</v>
      </c>
      <c r="J12" s="154" t="s">
        <v>149</v>
      </c>
      <c r="K12" s="101"/>
      <c r="L12" s="101">
        <v>149</v>
      </c>
      <c r="M12" s="73"/>
      <c r="N12" s="73">
        <f t="shared" si="0"/>
        <v>149</v>
      </c>
      <c r="O12" s="68"/>
      <c r="P12" s="68"/>
      <c r="Q12" s="68"/>
      <c r="R12" s="68"/>
      <c r="S12" s="68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  <c r="CC12" s="134"/>
      <c r="CD12" s="134"/>
      <c r="CE12" s="134"/>
      <c r="CF12" s="134"/>
      <c r="CG12" s="134"/>
      <c r="CH12" s="134"/>
      <c r="CI12" s="134"/>
      <c r="CJ12" s="134"/>
      <c r="CK12" s="134"/>
    </row>
    <row r="13" spans="1:89" ht="15" customHeight="1" x14ac:dyDescent="0.35">
      <c r="A13" s="123" t="s">
        <v>106</v>
      </c>
      <c r="B13" s="68" t="s">
        <v>92</v>
      </c>
      <c r="C13" s="68" t="s">
        <v>93</v>
      </c>
      <c r="D13" s="69" t="s">
        <v>586</v>
      </c>
      <c r="E13" s="69" t="s">
        <v>576</v>
      </c>
      <c r="F13" s="69" t="s">
        <v>151</v>
      </c>
      <c r="G13" s="68">
        <v>1</v>
      </c>
      <c r="H13" s="68" t="s">
        <v>14</v>
      </c>
      <c r="I13" s="68" t="s">
        <v>14</v>
      </c>
      <c r="J13" s="154" t="s">
        <v>150</v>
      </c>
      <c r="K13" s="101"/>
      <c r="L13" s="101">
        <v>399</v>
      </c>
      <c r="M13" s="73"/>
      <c r="N13" s="73">
        <f t="shared" si="0"/>
        <v>399</v>
      </c>
      <c r="O13" s="68"/>
      <c r="P13" s="68"/>
      <c r="Q13" s="68"/>
      <c r="R13" s="68"/>
      <c r="S13" s="68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  <c r="BP13" s="134"/>
      <c r="BQ13" s="134"/>
      <c r="BR13" s="134"/>
      <c r="BS13" s="134"/>
      <c r="BT13" s="134"/>
      <c r="BU13" s="134"/>
      <c r="BV13" s="134"/>
      <c r="BW13" s="134"/>
      <c r="BX13" s="134"/>
      <c r="BY13" s="134"/>
      <c r="BZ13" s="134"/>
      <c r="CA13" s="134"/>
      <c r="CB13" s="134"/>
      <c r="CC13" s="134"/>
      <c r="CD13" s="134"/>
      <c r="CE13" s="134"/>
      <c r="CF13" s="134"/>
      <c r="CG13" s="134"/>
      <c r="CH13" s="134"/>
      <c r="CI13" s="134"/>
      <c r="CJ13" s="134"/>
      <c r="CK13" s="134"/>
    </row>
    <row r="14" spans="1:89" ht="15" customHeight="1" x14ac:dyDescent="0.35">
      <c r="A14" s="123" t="s">
        <v>107</v>
      </c>
      <c r="B14" s="68" t="s">
        <v>92</v>
      </c>
      <c r="C14" s="68" t="s">
        <v>93</v>
      </c>
      <c r="D14" s="69" t="s">
        <v>586</v>
      </c>
      <c r="E14" s="69" t="s">
        <v>292</v>
      </c>
      <c r="F14" s="69" t="s">
        <v>475</v>
      </c>
      <c r="G14" s="69">
        <v>1</v>
      </c>
      <c r="H14" s="68" t="s">
        <v>14</v>
      </c>
      <c r="I14" s="68" t="s">
        <v>14</v>
      </c>
      <c r="J14" s="154" t="s">
        <v>152</v>
      </c>
      <c r="K14" s="101"/>
      <c r="L14" s="101">
        <v>1499</v>
      </c>
      <c r="M14" s="73"/>
      <c r="N14" s="73">
        <f t="shared" si="0"/>
        <v>1499</v>
      </c>
      <c r="O14" s="68"/>
      <c r="P14" s="68"/>
      <c r="Q14" s="68"/>
      <c r="R14" s="68"/>
      <c r="S14" s="68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134"/>
      <c r="BR14" s="134"/>
      <c r="BS14" s="134"/>
      <c r="BT14" s="134"/>
      <c r="BU14" s="134"/>
      <c r="BV14" s="134"/>
      <c r="BW14" s="134"/>
      <c r="BX14" s="134"/>
      <c r="BY14" s="134"/>
      <c r="BZ14" s="134"/>
      <c r="CA14" s="134"/>
      <c r="CB14" s="134"/>
      <c r="CC14" s="134"/>
      <c r="CD14" s="134"/>
      <c r="CE14" s="134"/>
      <c r="CF14" s="134"/>
      <c r="CG14" s="134"/>
      <c r="CH14" s="134"/>
      <c r="CI14" s="134"/>
      <c r="CJ14" s="134"/>
      <c r="CK14" s="134"/>
    </row>
    <row r="15" spans="1:89" ht="15" customHeight="1" x14ac:dyDescent="0.35">
      <c r="A15" s="123" t="s">
        <v>108</v>
      </c>
      <c r="B15" s="68" t="s">
        <v>92</v>
      </c>
      <c r="C15" s="68" t="s">
        <v>93</v>
      </c>
      <c r="D15" s="69" t="s">
        <v>586</v>
      </c>
      <c r="E15" s="69" t="s">
        <v>578</v>
      </c>
      <c r="F15" s="69" t="s">
        <v>154</v>
      </c>
      <c r="G15" s="69">
        <v>1</v>
      </c>
      <c r="H15" s="68" t="s">
        <v>14</v>
      </c>
      <c r="I15" s="68" t="s">
        <v>14</v>
      </c>
      <c r="J15" s="154" t="s">
        <v>153</v>
      </c>
      <c r="K15" s="101"/>
      <c r="L15" s="101">
        <v>85</v>
      </c>
      <c r="M15" s="73"/>
      <c r="N15" s="73">
        <f t="shared" si="0"/>
        <v>85</v>
      </c>
      <c r="O15" s="68"/>
      <c r="P15" s="68"/>
      <c r="Q15" s="68"/>
      <c r="R15" s="68"/>
      <c r="S15" s="68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  <c r="BM15" s="134"/>
      <c r="BN15" s="134"/>
      <c r="BO15" s="134"/>
      <c r="BP15" s="134"/>
      <c r="BQ15" s="134"/>
      <c r="BR15" s="134"/>
      <c r="BS15" s="134"/>
      <c r="BT15" s="134"/>
      <c r="BU15" s="134"/>
      <c r="BV15" s="134"/>
      <c r="BW15" s="134"/>
      <c r="BX15" s="134"/>
      <c r="BY15" s="134"/>
      <c r="BZ15" s="134"/>
      <c r="CA15" s="134"/>
      <c r="CB15" s="134"/>
      <c r="CC15" s="134"/>
      <c r="CD15" s="134"/>
      <c r="CE15" s="134"/>
      <c r="CF15" s="134"/>
      <c r="CG15" s="134"/>
      <c r="CH15" s="134"/>
      <c r="CI15" s="134"/>
      <c r="CJ15" s="134"/>
      <c r="CK15" s="134"/>
    </row>
    <row r="16" spans="1:89" ht="15" customHeight="1" x14ac:dyDescent="0.35">
      <c r="A16" s="123" t="s">
        <v>109</v>
      </c>
      <c r="B16" s="68" t="s">
        <v>92</v>
      </c>
      <c r="C16" s="68" t="s">
        <v>93</v>
      </c>
      <c r="D16" s="69" t="s">
        <v>586</v>
      </c>
      <c r="E16" s="69" t="s">
        <v>565</v>
      </c>
      <c r="F16" s="69" t="s">
        <v>156</v>
      </c>
      <c r="G16" s="69">
        <v>2</v>
      </c>
      <c r="H16" s="68" t="s">
        <v>14</v>
      </c>
      <c r="I16" s="68" t="s">
        <v>14</v>
      </c>
      <c r="J16" s="154" t="s">
        <v>155</v>
      </c>
      <c r="K16" s="101"/>
      <c r="L16" s="101">
        <v>2029</v>
      </c>
      <c r="M16" s="73"/>
      <c r="N16" s="73">
        <f t="shared" si="0"/>
        <v>4058</v>
      </c>
      <c r="O16" s="68"/>
      <c r="P16" s="68"/>
      <c r="Q16" s="68"/>
      <c r="R16" s="68"/>
      <c r="S16" s="68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4"/>
      <c r="CD16" s="134"/>
      <c r="CE16" s="134"/>
      <c r="CF16" s="134"/>
      <c r="CG16" s="134"/>
      <c r="CH16" s="134"/>
      <c r="CI16" s="134"/>
      <c r="CJ16" s="134"/>
      <c r="CK16" s="134"/>
    </row>
    <row r="17" spans="1:89" s="116" customFormat="1" ht="15" customHeight="1" x14ac:dyDescent="0.35">
      <c r="A17" s="125" t="s">
        <v>110</v>
      </c>
      <c r="B17" s="114" t="s">
        <v>92</v>
      </c>
      <c r="C17" s="114" t="s">
        <v>93</v>
      </c>
      <c r="D17" s="114" t="s">
        <v>170</v>
      </c>
      <c r="E17" s="114" t="s">
        <v>33</v>
      </c>
      <c r="F17" s="114" t="s">
        <v>175</v>
      </c>
      <c r="G17" s="114">
        <v>1</v>
      </c>
      <c r="H17" s="114" t="s">
        <v>157</v>
      </c>
      <c r="I17" s="114" t="s">
        <v>158</v>
      </c>
      <c r="J17" s="155" t="s">
        <v>159</v>
      </c>
      <c r="K17" s="115">
        <v>168.06</v>
      </c>
      <c r="L17" s="115">
        <v>204.99</v>
      </c>
      <c r="M17" s="115">
        <f>SUM(G17*K17)</f>
        <v>168.06</v>
      </c>
      <c r="N17" s="115">
        <f t="shared" si="0"/>
        <v>204.99</v>
      </c>
      <c r="O17" s="114" t="s">
        <v>598</v>
      </c>
      <c r="P17" s="114"/>
      <c r="Q17" s="114"/>
      <c r="R17" s="114"/>
      <c r="S17" s="11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  <c r="BM17" s="134"/>
      <c r="BN17" s="134"/>
      <c r="BO17" s="134"/>
      <c r="BP17" s="134"/>
      <c r="BQ17" s="134"/>
      <c r="BR17" s="134"/>
      <c r="BS17" s="134"/>
      <c r="BT17" s="134"/>
      <c r="BU17" s="134"/>
      <c r="BV17" s="134"/>
      <c r="BW17" s="134"/>
      <c r="BX17" s="134"/>
      <c r="BY17" s="134"/>
      <c r="BZ17" s="134"/>
      <c r="CA17" s="134"/>
      <c r="CB17" s="134"/>
      <c r="CC17" s="134"/>
      <c r="CD17" s="134"/>
      <c r="CE17" s="134"/>
      <c r="CF17" s="134"/>
      <c r="CG17" s="134"/>
      <c r="CH17" s="134"/>
      <c r="CI17" s="134"/>
      <c r="CJ17" s="134"/>
      <c r="CK17" s="134"/>
    </row>
    <row r="18" spans="1:89" ht="15" customHeight="1" x14ac:dyDescent="0.35">
      <c r="A18" s="123" t="s">
        <v>111</v>
      </c>
      <c r="B18" s="68" t="s">
        <v>92</v>
      </c>
      <c r="C18" s="68" t="s">
        <v>93</v>
      </c>
      <c r="D18" s="150" t="s">
        <v>136</v>
      </c>
      <c r="E18" s="150" t="s">
        <v>160</v>
      </c>
      <c r="F18" s="150"/>
      <c r="G18" s="69">
        <v>1</v>
      </c>
      <c r="H18" s="68" t="s">
        <v>161</v>
      </c>
      <c r="I18" s="69" t="s">
        <v>161</v>
      </c>
      <c r="J18" s="154" t="s">
        <v>162</v>
      </c>
      <c r="K18" s="101"/>
      <c r="L18" s="101">
        <v>499</v>
      </c>
      <c r="M18" s="73"/>
      <c r="N18" s="73">
        <f t="shared" si="0"/>
        <v>499</v>
      </c>
      <c r="O18" s="68"/>
      <c r="P18" s="68"/>
      <c r="Q18" s="68"/>
      <c r="R18" s="68"/>
      <c r="S18" s="68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134"/>
      <c r="BQ18" s="134"/>
      <c r="BR18" s="134"/>
      <c r="BS18" s="134"/>
      <c r="BT18" s="134"/>
      <c r="BU18" s="134"/>
      <c r="BV18" s="134"/>
      <c r="BW18" s="134"/>
      <c r="BX18" s="134"/>
      <c r="BY18" s="134"/>
      <c r="BZ18" s="134"/>
      <c r="CA18" s="134"/>
      <c r="CB18" s="134"/>
      <c r="CC18" s="134"/>
      <c r="CD18" s="134"/>
      <c r="CE18" s="134"/>
      <c r="CF18" s="134"/>
      <c r="CG18" s="134"/>
      <c r="CH18" s="134"/>
      <c r="CI18" s="134"/>
      <c r="CJ18" s="134"/>
      <c r="CK18" s="134"/>
    </row>
    <row r="19" spans="1:89" ht="15" customHeight="1" x14ac:dyDescent="0.35">
      <c r="A19" s="123" t="s">
        <v>112</v>
      </c>
      <c r="B19" s="68" t="s">
        <v>92</v>
      </c>
      <c r="C19" s="68" t="s">
        <v>93</v>
      </c>
      <c r="D19" s="150" t="s">
        <v>586</v>
      </c>
      <c r="E19" s="150" t="s">
        <v>574</v>
      </c>
      <c r="F19" s="150" t="s">
        <v>163</v>
      </c>
      <c r="G19" s="69">
        <v>1</v>
      </c>
      <c r="H19" s="68" t="s">
        <v>164</v>
      </c>
      <c r="I19" s="69" t="s">
        <v>129</v>
      </c>
      <c r="J19" s="154" t="s">
        <v>165</v>
      </c>
      <c r="K19" s="101">
        <v>89.83</v>
      </c>
      <c r="L19" s="101">
        <v>106.9</v>
      </c>
      <c r="M19" s="73">
        <f>SUM(G19*K19)</f>
        <v>89.83</v>
      </c>
      <c r="N19" s="73">
        <f t="shared" si="0"/>
        <v>106.9</v>
      </c>
      <c r="O19" s="68"/>
      <c r="P19" s="68"/>
      <c r="Q19" s="68"/>
      <c r="R19" s="68"/>
      <c r="S19" s="68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  <c r="BM19" s="134"/>
      <c r="BN19" s="134"/>
      <c r="BO19" s="134"/>
      <c r="BP19" s="134"/>
      <c r="BQ19" s="134"/>
      <c r="BR19" s="134"/>
      <c r="BS19" s="134"/>
      <c r="BT19" s="134"/>
      <c r="BU19" s="134"/>
      <c r="BV19" s="134"/>
      <c r="BW19" s="134"/>
      <c r="BX19" s="134"/>
      <c r="BY19" s="134"/>
      <c r="BZ19" s="134"/>
      <c r="CA19" s="134"/>
      <c r="CB19" s="134"/>
      <c r="CC19" s="134"/>
      <c r="CD19" s="134"/>
      <c r="CE19" s="134"/>
      <c r="CF19" s="134"/>
      <c r="CG19" s="134"/>
      <c r="CH19" s="134"/>
      <c r="CI19" s="134"/>
      <c r="CJ19" s="134"/>
      <c r="CK19" s="134"/>
    </row>
    <row r="20" spans="1:89" ht="15" customHeight="1" x14ac:dyDescent="0.35">
      <c r="A20" s="123" t="s">
        <v>113</v>
      </c>
      <c r="B20" s="68" t="s">
        <v>92</v>
      </c>
      <c r="C20" s="68" t="s">
        <v>93</v>
      </c>
      <c r="D20" s="150" t="s">
        <v>586</v>
      </c>
      <c r="E20" s="150" t="s">
        <v>564</v>
      </c>
      <c r="F20" s="150" t="s">
        <v>566</v>
      </c>
      <c r="G20" s="69">
        <v>1</v>
      </c>
      <c r="H20" s="68" t="s">
        <v>166</v>
      </c>
      <c r="I20" s="69" t="s">
        <v>124</v>
      </c>
      <c r="J20" s="154" t="s">
        <v>167</v>
      </c>
      <c r="K20" s="101"/>
      <c r="L20" s="101">
        <v>569.99</v>
      </c>
      <c r="M20" s="73"/>
      <c r="N20" s="73">
        <f t="shared" si="0"/>
        <v>569.99</v>
      </c>
      <c r="O20" s="68"/>
      <c r="P20" s="68"/>
      <c r="Q20" s="68"/>
      <c r="R20" s="68"/>
      <c r="S20" s="68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4"/>
      <c r="BO20" s="134"/>
      <c r="BP20" s="134"/>
      <c r="BQ20" s="134"/>
      <c r="BR20" s="134"/>
      <c r="BS20" s="134"/>
      <c r="BT20" s="134"/>
      <c r="BU20" s="134"/>
      <c r="BV20" s="134"/>
      <c r="BW20" s="134"/>
      <c r="BX20" s="134"/>
      <c r="BY20" s="134"/>
      <c r="BZ20" s="134"/>
      <c r="CA20" s="134"/>
      <c r="CB20" s="134"/>
      <c r="CC20" s="134"/>
      <c r="CD20" s="134"/>
      <c r="CE20" s="134"/>
      <c r="CF20" s="134"/>
      <c r="CG20" s="134"/>
      <c r="CH20" s="134"/>
      <c r="CI20" s="134"/>
      <c r="CJ20" s="134"/>
      <c r="CK20" s="134"/>
    </row>
    <row r="21" spans="1:89" ht="15" customHeight="1" x14ac:dyDescent="0.35">
      <c r="A21" s="123" t="s">
        <v>114</v>
      </c>
      <c r="B21" s="68" t="s">
        <v>92</v>
      </c>
      <c r="C21" s="68" t="s">
        <v>93</v>
      </c>
      <c r="D21" s="150" t="s">
        <v>586</v>
      </c>
      <c r="E21" s="150" t="s">
        <v>169</v>
      </c>
      <c r="F21" s="150"/>
      <c r="G21" s="69">
        <v>1</v>
      </c>
      <c r="H21" s="68" t="s">
        <v>166</v>
      </c>
      <c r="I21" s="69" t="s">
        <v>124</v>
      </c>
      <c r="J21" s="154" t="s">
        <v>168</v>
      </c>
      <c r="K21" s="101"/>
      <c r="L21" s="101">
        <v>99.99</v>
      </c>
      <c r="M21" s="73"/>
      <c r="N21" s="73">
        <f t="shared" si="0"/>
        <v>99.99</v>
      </c>
      <c r="O21" s="68"/>
      <c r="P21" s="68"/>
      <c r="Q21" s="68"/>
      <c r="R21" s="68"/>
      <c r="S21" s="68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  <c r="CC21" s="134"/>
      <c r="CD21" s="134"/>
      <c r="CE21" s="134"/>
      <c r="CF21" s="134"/>
      <c r="CG21" s="134"/>
      <c r="CH21" s="134"/>
      <c r="CI21" s="134"/>
      <c r="CJ21" s="134"/>
      <c r="CK21" s="134"/>
    </row>
    <row r="22" spans="1:89" s="116" customFormat="1" ht="15" customHeight="1" x14ac:dyDescent="0.35">
      <c r="A22" s="125" t="s">
        <v>115</v>
      </c>
      <c r="B22" s="114" t="s">
        <v>92</v>
      </c>
      <c r="C22" s="114" t="s">
        <v>93</v>
      </c>
      <c r="D22" s="114" t="s">
        <v>170</v>
      </c>
      <c r="E22" s="114"/>
      <c r="F22" s="114" t="s">
        <v>174</v>
      </c>
      <c r="G22" s="114">
        <v>1</v>
      </c>
      <c r="H22" s="114" t="s">
        <v>172</v>
      </c>
      <c r="I22" s="114" t="s">
        <v>171</v>
      </c>
      <c r="J22" s="155" t="s">
        <v>173</v>
      </c>
      <c r="K22" s="115">
        <v>158.96</v>
      </c>
      <c r="L22" s="115">
        <v>189.16</v>
      </c>
      <c r="M22" s="115">
        <f>SUM(G22*K22)</f>
        <v>158.96</v>
      </c>
      <c r="N22" s="115">
        <f t="shared" si="0"/>
        <v>189.16</v>
      </c>
      <c r="O22" s="114" t="s">
        <v>598</v>
      </c>
      <c r="P22" s="114"/>
      <c r="Q22" s="114"/>
      <c r="R22" s="114"/>
      <c r="S22" s="11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4"/>
      <c r="BO22" s="134"/>
      <c r="BP22" s="134"/>
      <c r="BQ22" s="134"/>
      <c r="BR22" s="134"/>
      <c r="BS22" s="134"/>
      <c r="BT22" s="134"/>
      <c r="BU22" s="134"/>
      <c r="BV22" s="134"/>
      <c r="BW22" s="134"/>
      <c r="BX22" s="134"/>
      <c r="BY22" s="134"/>
      <c r="BZ22" s="134"/>
      <c r="CA22" s="134"/>
      <c r="CB22" s="134"/>
      <c r="CC22" s="134"/>
      <c r="CD22" s="134"/>
      <c r="CE22" s="134"/>
      <c r="CF22" s="134"/>
      <c r="CG22" s="134"/>
      <c r="CH22" s="134"/>
      <c r="CI22" s="134"/>
      <c r="CJ22" s="134"/>
      <c r="CK22" s="134"/>
    </row>
    <row r="23" spans="1:89" s="116" customFormat="1" ht="15" customHeight="1" x14ac:dyDescent="0.35">
      <c r="A23" s="125" t="s">
        <v>116</v>
      </c>
      <c r="B23" s="114" t="s">
        <v>92</v>
      </c>
      <c r="C23" s="114" t="s">
        <v>93</v>
      </c>
      <c r="D23" s="114" t="s">
        <v>225</v>
      </c>
      <c r="E23" s="114"/>
      <c r="F23" s="114" t="s">
        <v>177</v>
      </c>
      <c r="G23" s="114">
        <v>1</v>
      </c>
      <c r="H23" s="114" t="s">
        <v>179</v>
      </c>
      <c r="I23" s="114" t="s">
        <v>255</v>
      </c>
      <c r="J23" s="155" t="s">
        <v>178</v>
      </c>
      <c r="K23" s="115">
        <v>62.99</v>
      </c>
      <c r="L23" s="115">
        <v>80.900000000000006</v>
      </c>
      <c r="M23" s="115">
        <f t="shared" ref="M23:M31" si="1">SUM(G23*K23)</f>
        <v>62.99</v>
      </c>
      <c r="N23" s="115">
        <f t="shared" si="0"/>
        <v>80.900000000000006</v>
      </c>
      <c r="O23" s="114" t="s">
        <v>598</v>
      </c>
      <c r="P23" s="114"/>
      <c r="Q23" s="114"/>
      <c r="R23" s="114"/>
      <c r="S23" s="11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4"/>
      <c r="BO23" s="134"/>
      <c r="BP23" s="134"/>
      <c r="BQ23" s="134"/>
      <c r="BR23" s="134"/>
      <c r="BS23" s="134"/>
      <c r="BT23" s="134"/>
      <c r="BU23" s="134"/>
      <c r="BV23" s="134"/>
      <c r="BW23" s="134"/>
      <c r="BX23" s="134"/>
      <c r="BY23" s="134"/>
      <c r="BZ23" s="134"/>
      <c r="CA23" s="134"/>
      <c r="CB23" s="134"/>
      <c r="CC23" s="134"/>
      <c r="CD23" s="134"/>
      <c r="CE23" s="134"/>
      <c r="CF23" s="134"/>
      <c r="CG23" s="134"/>
      <c r="CH23" s="134"/>
      <c r="CI23" s="134"/>
      <c r="CJ23" s="134"/>
      <c r="CK23" s="134"/>
    </row>
    <row r="24" spans="1:89" s="116" customFormat="1" ht="15" customHeight="1" x14ac:dyDescent="0.35">
      <c r="A24" s="125" t="s">
        <v>117</v>
      </c>
      <c r="B24" s="114" t="s">
        <v>92</v>
      </c>
      <c r="C24" s="114" t="s">
        <v>93</v>
      </c>
      <c r="D24" s="114" t="s">
        <v>225</v>
      </c>
      <c r="E24" s="114"/>
      <c r="F24" s="114" t="s">
        <v>180</v>
      </c>
      <c r="G24" s="114">
        <v>1</v>
      </c>
      <c r="H24" s="114" t="s">
        <v>181</v>
      </c>
      <c r="I24" s="114" t="s">
        <v>129</v>
      </c>
      <c r="J24" s="155" t="s">
        <v>182</v>
      </c>
      <c r="K24" s="115">
        <v>192.09</v>
      </c>
      <c r="L24" s="115">
        <v>228.59</v>
      </c>
      <c r="M24" s="115">
        <f t="shared" si="1"/>
        <v>192.09</v>
      </c>
      <c r="N24" s="115">
        <f t="shared" si="0"/>
        <v>228.59</v>
      </c>
      <c r="O24" s="114" t="s">
        <v>598</v>
      </c>
      <c r="P24" s="114"/>
      <c r="Q24" s="114"/>
      <c r="R24" s="114"/>
      <c r="S24" s="11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4"/>
      <c r="BO24" s="134"/>
      <c r="BP24" s="134"/>
      <c r="BQ24" s="134"/>
      <c r="BR24" s="134"/>
      <c r="BS24" s="134"/>
      <c r="BT24" s="134"/>
      <c r="BU24" s="134"/>
      <c r="BV24" s="134"/>
      <c r="BW24" s="134"/>
      <c r="BX24" s="134"/>
      <c r="BY24" s="134"/>
      <c r="BZ24" s="134"/>
      <c r="CA24" s="134"/>
      <c r="CB24" s="134"/>
      <c r="CC24" s="134"/>
      <c r="CD24" s="134"/>
      <c r="CE24" s="134"/>
      <c r="CF24" s="134"/>
      <c r="CG24" s="134"/>
      <c r="CH24" s="134"/>
      <c r="CI24" s="134"/>
      <c r="CJ24" s="134"/>
      <c r="CK24" s="134"/>
    </row>
    <row r="25" spans="1:89" s="116" customFormat="1" ht="15" customHeight="1" x14ac:dyDescent="0.35">
      <c r="A25" s="125" t="s">
        <v>183</v>
      </c>
      <c r="B25" s="114" t="s">
        <v>92</v>
      </c>
      <c r="C25" s="114" t="s">
        <v>93</v>
      </c>
      <c r="D25" s="114" t="s">
        <v>188</v>
      </c>
      <c r="E25" s="114"/>
      <c r="F25" s="114" t="s">
        <v>187</v>
      </c>
      <c r="G25" s="114">
        <v>4</v>
      </c>
      <c r="H25" s="114" t="s">
        <v>264</v>
      </c>
      <c r="I25" s="114" t="s">
        <v>129</v>
      </c>
      <c r="J25" s="155" t="s">
        <v>229</v>
      </c>
      <c r="K25" s="115">
        <v>20.38</v>
      </c>
      <c r="L25" s="115">
        <v>24.25</v>
      </c>
      <c r="M25" s="115">
        <f t="shared" si="1"/>
        <v>81.52</v>
      </c>
      <c r="N25" s="115">
        <f t="shared" si="0"/>
        <v>97</v>
      </c>
      <c r="O25" s="114" t="s">
        <v>598</v>
      </c>
      <c r="P25" s="114"/>
      <c r="Q25" s="114"/>
      <c r="R25" s="114"/>
      <c r="S25" s="11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  <c r="BM25" s="134"/>
      <c r="BN25" s="134"/>
      <c r="BO25" s="134"/>
      <c r="BP25" s="134"/>
      <c r="BQ25" s="134"/>
      <c r="BR25" s="134"/>
      <c r="BS25" s="134"/>
      <c r="BT25" s="134"/>
      <c r="BU25" s="134"/>
      <c r="BV25" s="134"/>
      <c r="BW25" s="134"/>
      <c r="BX25" s="134"/>
      <c r="BY25" s="134"/>
      <c r="BZ25" s="134"/>
      <c r="CA25" s="134"/>
      <c r="CB25" s="134"/>
      <c r="CC25" s="134"/>
      <c r="CD25" s="134"/>
      <c r="CE25" s="134"/>
      <c r="CF25" s="134"/>
      <c r="CG25" s="134"/>
      <c r="CH25" s="134"/>
      <c r="CI25" s="134"/>
      <c r="CJ25" s="134"/>
      <c r="CK25" s="134"/>
    </row>
    <row r="26" spans="1:89" s="116" customFormat="1" ht="15" customHeight="1" x14ac:dyDescent="0.35">
      <c r="A26" s="125" t="s">
        <v>184</v>
      </c>
      <c r="B26" s="114" t="s">
        <v>92</v>
      </c>
      <c r="C26" s="114" t="s">
        <v>93</v>
      </c>
      <c r="D26" s="114" t="s">
        <v>188</v>
      </c>
      <c r="E26" s="114"/>
      <c r="F26" s="114" t="s">
        <v>189</v>
      </c>
      <c r="G26" s="114">
        <v>2</v>
      </c>
      <c r="H26" s="114" t="s">
        <v>265</v>
      </c>
      <c r="I26" s="114" t="s">
        <v>129</v>
      </c>
      <c r="J26" s="155" t="s">
        <v>230</v>
      </c>
      <c r="K26" s="115">
        <v>28.99</v>
      </c>
      <c r="L26" s="115">
        <v>34.5</v>
      </c>
      <c r="M26" s="115">
        <f t="shared" si="1"/>
        <v>57.98</v>
      </c>
      <c r="N26" s="115">
        <f t="shared" si="0"/>
        <v>69</v>
      </c>
      <c r="O26" s="114" t="s">
        <v>598</v>
      </c>
      <c r="P26" s="114"/>
      <c r="Q26" s="114"/>
      <c r="R26" s="114"/>
      <c r="S26" s="11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4"/>
      <c r="BO26" s="134"/>
      <c r="BP26" s="134"/>
      <c r="BQ26" s="134"/>
      <c r="BR26" s="134"/>
      <c r="BS26" s="134"/>
      <c r="BT26" s="134"/>
      <c r="BU26" s="134"/>
      <c r="BV26" s="134"/>
      <c r="BW26" s="134"/>
      <c r="BX26" s="134"/>
      <c r="BY26" s="134"/>
      <c r="BZ26" s="134"/>
      <c r="CA26" s="134"/>
      <c r="CB26" s="134"/>
      <c r="CC26" s="134"/>
      <c r="CD26" s="134"/>
      <c r="CE26" s="134"/>
      <c r="CF26" s="134"/>
      <c r="CG26" s="134"/>
      <c r="CH26" s="134"/>
      <c r="CI26" s="134"/>
      <c r="CJ26" s="134"/>
      <c r="CK26" s="134"/>
    </row>
    <row r="27" spans="1:89" s="116" customFormat="1" ht="15" customHeight="1" x14ac:dyDescent="0.35">
      <c r="A27" s="125" t="s">
        <v>185</v>
      </c>
      <c r="B27" s="114" t="s">
        <v>92</v>
      </c>
      <c r="C27" s="114" t="s">
        <v>93</v>
      </c>
      <c r="D27" s="114" t="s">
        <v>188</v>
      </c>
      <c r="E27" s="114"/>
      <c r="F27" s="114" t="s">
        <v>190</v>
      </c>
      <c r="G27" s="114">
        <v>4</v>
      </c>
      <c r="H27" s="114" t="s">
        <v>264</v>
      </c>
      <c r="I27" s="114" t="s">
        <v>129</v>
      </c>
      <c r="J27" s="155" t="s">
        <v>231</v>
      </c>
      <c r="K27" s="115">
        <v>12.99</v>
      </c>
      <c r="L27" s="115">
        <f>15.46</f>
        <v>15.46</v>
      </c>
      <c r="M27" s="115">
        <f t="shared" si="1"/>
        <v>51.96</v>
      </c>
      <c r="N27" s="115">
        <f t="shared" si="0"/>
        <v>61.84</v>
      </c>
      <c r="O27" s="114" t="s">
        <v>598</v>
      </c>
      <c r="P27" s="114"/>
      <c r="Q27" s="114"/>
      <c r="R27" s="114"/>
      <c r="S27" s="11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4"/>
      <c r="CC27" s="134"/>
      <c r="CD27" s="134"/>
      <c r="CE27" s="134"/>
      <c r="CF27" s="134"/>
      <c r="CG27" s="134"/>
      <c r="CH27" s="134"/>
      <c r="CI27" s="134"/>
      <c r="CJ27" s="134"/>
      <c r="CK27" s="134"/>
    </row>
    <row r="28" spans="1:89" s="116" customFormat="1" ht="15" customHeight="1" x14ac:dyDescent="0.35">
      <c r="A28" s="125" t="s">
        <v>186</v>
      </c>
      <c r="B28" s="114" t="s">
        <v>92</v>
      </c>
      <c r="C28" s="114" t="s">
        <v>93</v>
      </c>
      <c r="D28" s="114" t="s">
        <v>225</v>
      </c>
      <c r="E28" s="114"/>
      <c r="F28" s="114" t="s">
        <v>191</v>
      </c>
      <c r="G28" s="114">
        <v>10</v>
      </c>
      <c r="H28" s="114" t="s">
        <v>263</v>
      </c>
      <c r="I28" s="114" t="s">
        <v>129</v>
      </c>
      <c r="J28" s="155" t="s">
        <v>232</v>
      </c>
      <c r="K28" s="115">
        <v>14.49</v>
      </c>
      <c r="L28" s="115">
        <f>17.24</f>
        <v>17.239999999999998</v>
      </c>
      <c r="M28" s="115">
        <f t="shared" si="1"/>
        <v>144.9</v>
      </c>
      <c r="N28" s="115">
        <f t="shared" si="0"/>
        <v>172.39999999999998</v>
      </c>
      <c r="O28" s="114" t="s">
        <v>598</v>
      </c>
      <c r="P28" s="114"/>
      <c r="Q28" s="114"/>
      <c r="R28" s="114"/>
      <c r="S28" s="11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134"/>
      <c r="BR28" s="134"/>
      <c r="BS28" s="134"/>
      <c r="BT28" s="134"/>
      <c r="BU28" s="134"/>
      <c r="BV28" s="134"/>
      <c r="BW28" s="134"/>
      <c r="BX28" s="134"/>
      <c r="BY28" s="134"/>
      <c r="BZ28" s="134"/>
      <c r="CA28" s="134"/>
      <c r="CB28" s="134"/>
      <c r="CC28" s="134"/>
      <c r="CD28" s="134"/>
      <c r="CE28" s="134"/>
      <c r="CF28" s="134"/>
      <c r="CG28" s="134"/>
      <c r="CH28" s="134"/>
      <c r="CI28" s="134"/>
      <c r="CJ28" s="134"/>
      <c r="CK28" s="134"/>
    </row>
    <row r="29" spans="1:89" s="116" customFormat="1" ht="15" customHeight="1" x14ac:dyDescent="0.35">
      <c r="A29" s="125" t="s">
        <v>197</v>
      </c>
      <c r="B29" s="114" t="s">
        <v>92</v>
      </c>
      <c r="C29" s="114" t="s">
        <v>93</v>
      </c>
      <c r="D29" s="114" t="s">
        <v>225</v>
      </c>
      <c r="E29" s="114"/>
      <c r="F29" s="114" t="s">
        <v>192</v>
      </c>
      <c r="G29" s="114">
        <v>20</v>
      </c>
      <c r="H29" s="114" t="s">
        <v>262</v>
      </c>
      <c r="I29" s="114" t="s">
        <v>129</v>
      </c>
      <c r="J29" s="155" t="s">
        <v>233</v>
      </c>
      <c r="K29" s="115">
        <v>5.99</v>
      </c>
      <c r="L29" s="115">
        <f>7.13</f>
        <v>7.13</v>
      </c>
      <c r="M29" s="115">
        <f t="shared" si="1"/>
        <v>119.80000000000001</v>
      </c>
      <c r="N29" s="115">
        <f t="shared" si="0"/>
        <v>142.6</v>
      </c>
      <c r="O29" s="114" t="s">
        <v>598</v>
      </c>
      <c r="P29" s="114"/>
      <c r="Q29" s="114"/>
      <c r="R29" s="114"/>
      <c r="S29" s="11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4"/>
      <c r="BO29" s="134"/>
      <c r="BP29" s="134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4"/>
      <c r="CC29" s="134"/>
      <c r="CD29" s="134"/>
      <c r="CE29" s="134"/>
      <c r="CF29" s="134"/>
      <c r="CG29" s="134"/>
      <c r="CH29" s="134"/>
      <c r="CI29" s="134"/>
      <c r="CJ29" s="134"/>
      <c r="CK29" s="134"/>
    </row>
    <row r="30" spans="1:89" s="116" customFormat="1" ht="15" customHeight="1" x14ac:dyDescent="0.35">
      <c r="A30" s="125" t="s">
        <v>198</v>
      </c>
      <c r="B30" s="114" t="s">
        <v>92</v>
      </c>
      <c r="C30" s="114" t="s">
        <v>93</v>
      </c>
      <c r="D30" s="114" t="s">
        <v>225</v>
      </c>
      <c r="E30" s="114"/>
      <c r="F30" s="114" t="s">
        <v>193</v>
      </c>
      <c r="G30" s="114">
        <v>2</v>
      </c>
      <c r="H30" s="114" t="s">
        <v>261</v>
      </c>
      <c r="I30" s="114" t="s">
        <v>129</v>
      </c>
      <c r="J30" s="155" t="s">
        <v>234</v>
      </c>
      <c r="K30" s="115">
        <v>29.99</v>
      </c>
      <c r="L30" s="115">
        <v>36.880000000000003</v>
      </c>
      <c r="M30" s="115">
        <f t="shared" si="1"/>
        <v>59.98</v>
      </c>
      <c r="N30" s="115">
        <f t="shared" si="0"/>
        <v>73.760000000000005</v>
      </c>
      <c r="O30" s="114" t="s">
        <v>598</v>
      </c>
      <c r="P30" s="114"/>
      <c r="Q30" s="114"/>
      <c r="R30" s="114"/>
      <c r="S30" s="11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4"/>
      <c r="BO30" s="134"/>
      <c r="BP30" s="134"/>
      <c r="BQ30" s="134"/>
      <c r="BR30" s="134"/>
      <c r="BS30" s="134"/>
      <c r="BT30" s="134"/>
      <c r="BU30" s="134"/>
      <c r="BV30" s="134"/>
      <c r="BW30" s="134"/>
      <c r="BX30" s="134"/>
      <c r="BY30" s="134"/>
      <c r="BZ30" s="134"/>
      <c r="CA30" s="134"/>
      <c r="CB30" s="134"/>
      <c r="CC30" s="134"/>
      <c r="CD30" s="134"/>
      <c r="CE30" s="134"/>
      <c r="CF30" s="134"/>
      <c r="CG30" s="134"/>
      <c r="CH30" s="134"/>
      <c r="CI30" s="134"/>
      <c r="CJ30" s="134"/>
      <c r="CK30" s="134"/>
    </row>
    <row r="31" spans="1:89" s="116" customFormat="1" ht="15" customHeight="1" x14ac:dyDescent="0.35">
      <c r="A31" s="125" t="s">
        <v>199</v>
      </c>
      <c r="B31" s="114" t="s">
        <v>92</v>
      </c>
      <c r="C31" s="114" t="s">
        <v>93</v>
      </c>
      <c r="D31" s="114" t="s">
        <v>225</v>
      </c>
      <c r="E31" s="114"/>
      <c r="F31" s="114" t="s">
        <v>194</v>
      </c>
      <c r="G31" s="114">
        <v>2</v>
      </c>
      <c r="H31" s="114" t="s">
        <v>260</v>
      </c>
      <c r="I31" s="114" t="s">
        <v>129</v>
      </c>
      <c r="J31" s="155" t="s">
        <v>235</v>
      </c>
      <c r="K31" s="115">
        <v>21.99</v>
      </c>
      <c r="L31" s="115">
        <f>26.17</f>
        <v>26.17</v>
      </c>
      <c r="M31" s="115">
        <f t="shared" si="1"/>
        <v>43.98</v>
      </c>
      <c r="N31" s="115">
        <f t="shared" si="0"/>
        <v>52.34</v>
      </c>
      <c r="O31" s="114" t="s">
        <v>598</v>
      </c>
      <c r="P31" s="114"/>
      <c r="Q31" s="114"/>
      <c r="R31" s="114"/>
      <c r="S31" s="11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4"/>
      <c r="BO31" s="134"/>
      <c r="BP31" s="134"/>
      <c r="BQ31" s="134"/>
      <c r="BR31" s="134"/>
      <c r="BS31" s="134"/>
      <c r="BT31" s="134"/>
      <c r="BU31" s="134"/>
      <c r="BV31" s="134"/>
      <c r="BW31" s="134"/>
      <c r="BX31" s="134"/>
      <c r="BY31" s="134"/>
      <c r="BZ31" s="134"/>
      <c r="CA31" s="134"/>
      <c r="CB31" s="134"/>
      <c r="CC31" s="134"/>
      <c r="CD31" s="134"/>
      <c r="CE31" s="134"/>
      <c r="CF31" s="134"/>
      <c r="CG31" s="134"/>
      <c r="CH31" s="134"/>
      <c r="CI31" s="134"/>
      <c r="CJ31" s="134"/>
      <c r="CK31" s="134"/>
    </row>
    <row r="32" spans="1:89" ht="15" customHeight="1" x14ac:dyDescent="0.35">
      <c r="A32" s="123" t="s">
        <v>200</v>
      </c>
      <c r="B32" s="68" t="s">
        <v>92</v>
      </c>
      <c r="C32" s="68" t="s">
        <v>93</v>
      </c>
      <c r="D32" s="150" t="s">
        <v>176</v>
      </c>
      <c r="E32" s="150"/>
      <c r="F32" s="150" t="s">
        <v>226</v>
      </c>
      <c r="G32" s="69">
        <v>1</v>
      </c>
      <c r="H32" s="68" t="s">
        <v>259</v>
      </c>
      <c r="I32" s="69" t="s">
        <v>134</v>
      </c>
      <c r="J32" s="154" t="s">
        <v>236</v>
      </c>
      <c r="K32" s="73"/>
      <c r="L32" s="101">
        <v>63.99</v>
      </c>
      <c r="M32" s="73"/>
      <c r="N32" s="73">
        <f t="shared" si="0"/>
        <v>63.99</v>
      </c>
      <c r="O32" s="68"/>
      <c r="P32" s="68"/>
      <c r="Q32" s="68"/>
      <c r="R32" s="68"/>
      <c r="S32" s="68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4"/>
      <c r="BO32" s="134"/>
      <c r="BP32" s="134"/>
      <c r="BQ32" s="134"/>
      <c r="BR32" s="134"/>
      <c r="BS32" s="134"/>
      <c r="BT32" s="134"/>
      <c r="BU32" s="134"/>
      <c r="BV32" s="134"/>
      <c r="BW32" s="134"/>
      <c r="BX32" s="134"/>
      <c r="BY32" s="134"/>
      <c r="BZ32" s="134"/>
      <c r="CA32" s="134"/>
      <c r="CB32" s="134"/>
      <c r="CC32" s="134"/>
      <c r="CD32" s="134"/>
      <c r="CE32" s="134"/>
      <c r="CF32" s="134"/>
      <c r="CG32" s="134"/>
      <c r="CH32" s="134"/>
      <c r="CI32" s="134"/>
      <c r="CJ32" s="134"/>
      <c r="CK32" s="134"/>
    </row>
    <row r="33" spans="1:89" ht="15" customHeight="1" x14ac:dyDescent="0.35">
      <c r="A33" s="123" t="s">
        <v>201</v>
      </c>
      <c r="B33" s="68" t="s">
        <v>92</v>
      </c>
      <c r="C33" s="68" t="s">
        <v>93</v>
      </c>
      <c r="D33" s="150" t="s">
        <v>176</v>
      </c>
      <c r="E33" s="150"/>
      <c r="F33" s="150" t="s">
        <v>227</v>
      </c>
      <c r="G33" s="69">
        <v>1</v>
      </c>
      <c r="H33" s="68" t="s">
        <v>258</v>
      </c>
      <c r="I33" s="69" t="s">
        <v>134</v>
      </c>
      <c r="J33" s="154" t="s">
        <v>237</v>
      </c>
      <c r="K33" s="73"/>
      <c r="L33" s="90">
        <v>109.9</v>
      </c>
      <c r="M33" s="73"/>
      <c r="N33" s="73">
        <f t="shared" si="0"/>
        <v>109.9</v>
      </c>
      <c r="O33" s="68"/>
      <c r="P33" s="68"/>
      <c r="Q33" s="91"/>
      <c r="R33" s="91"/>
      <c r="S33" s="91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134"/>
      <c r="BV33" s="134"/>
      <c r="BW33" s="134"/>
      <c r="BX33" s="134"/>
      <c r="BY33" s="134"/>
      <c r="BZ33" s="134"/>
      <c r="CA33" s="134"/>
      <c r="CB33" s="134"/>
      <c r="CC33" s="134"/>
      <c r="CD33" s="134"/>
      <c r="CE33" s="134"/>
      <c r="CF33" s="134"/>
      <c r="CG33" s="134"/>
      <c r="CH33" s="134"/>
      <c r="CI33" s="134"/>
      <c r="CJ33" s="134"/>
      <c r="CK33" s="134"/>
    </row>
    <row r="34" spans="1:89" s="116" customFormat="1" ht="15" customHeight="1" x14ac:dyDescent="0.35">
      <c r="A34" s="125" t="s">
        <v>202</v>
      </c>
      <c r="B34" s="114" t="s">
        <v>92</v>
      </c>
      <c r="C34" s="114" t="s">
        <v>93</v>
      </c>
      <c r="D34" s="114" t="s">
        <v>176</v>
      </c>
      <c r="E34" s="114"/>
      <c r="F34" s="114" t="s">
        <v>195</v>
      </c>
      <c r="G34" s="114">
        <v>1</v>
      </c>
      <c r="H34" s="114" t="s">
        <v>257</v>
      </c>
      <c r="I34" s="114" t="s">
        <v>82</v>
      </c>
      <c r="J34" s="155" t="s">
        <v>238</v>
      </c>
      <c r="K34" s="115"/>
      <c r="L34" s="115">
        <v>25.2</v>
      </c>
      <c r="M34" s="115"/>
      <c r="N34" s="115">
        <f t="shared" ref="N34:N50" si="2">SUM(G34*L34)</f>
        <v>25.2</v>
      </c>
      <c r="O34" s="114" t="s">
        <v>598</v>
      </c>
      <c r="P34" s="114"/>
      <c r="Q34" s="117"/>
      <c r="R34" s="117"/>
      <c r="S34" s="117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  <c r="CC34" s="134"/>
      <c r="CD34" s="134"/>
      <c r="CE34" s="134"/>
      <c r="CF34" s="134"/>
      <c r="CG34" s="134"/>
      <c r="CH34" s="134"/>
      <c r="CI34" s="134"/>
      <c r="CJ34" s="134"/>
      <c r="CK34" s="134"/>
    </row>
    <row r="35" spans="1:89" s="116" customFormat="1" ht="15" customHeight="1" x14ac:dyDescent="0.35">
      <c r="A35" s="125" t="s">
        <v>203</v>
      </c>
      <c r="B35" s="114" t="s">
        <v>92</v>
      </c>
      <c r="C35" s="114" t="s">
        <v>93</v>
      </c>
      <c r="D35" s="114" t="s">
        <v>176</v>
      </c>
      <c r="E35" s="114"/>
      <c r="F35" s="114" t="s">
        <v>196</v>
      </c>
      <c r="G35" s="114">
        <v>1</v>
      </c>
      <c r="H35" s="114" t="s">
        <v>257</v>
      </c>
      <c r="I35" s="114" t="s">
        <v>82</v>
      </c>
      <c r="J35" s="155" t="s">
        <v>239</v>
      </c>
      <c r="K35" s="115"/>
      <c r="L35" s="115">
        <v>19.989999999999998</v>
      </c>
      <c r="M35" s="115"/>
      <c r="N35" s="115">
        <f t="shared" si="2"/>
        <v>19.989999999999998</v>
      </c>
      <c r="O35" s="114" t="s">
        <v>598</v>
      </c>
      <c r="P35" s="114"/>
      <c r="Q35" s="117"/>
      <c r="R35" s="117"/>
      <c r="S35" s="117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4"/>
      <c r="BO35" s="134"/>
      <c r="BP35" s="134"/>
      <c r="BQ35" s="134"/>
      <c r="BR35" s="134"/>
      <c r="BS35" s="134"/>
      <c r="BT35" s="134"/>
      <c r="BU35" s="134"/>
      <c r="BV35" s="134"/>
      <c r="BW35" s="134"/>
      <c r="BX35" s="134"/>
      <c r="BY35" s="134"/>
      <c r="BZ35" s="134"/>
      <c r="CA35" s="134"/>
      <c r="CB35" s="134"/>
      <c r="CC35" s="134"/>
      <c r="CD35" s="134"/>
      <c r="CE35" s="134"/>
      <c r="CF35" s="134"/>
      <c r="CG35" s="134"/>
      <c r="CH35" s="134"/>
      <c r="CI35" s="134"/>
      <c r="CJ35" s="134"/>
      <c r="CK35" s="134"/>
    </row>
    <row r="36" spans="1:89" ht="15" customHeight="1" x14ac:dyDescent="0.35">
      <c r="A36" s="123" t="s">
        <v>204</v>
      </c>
      <c r="B36" s="68" t="s">
        <v>92</v>
      </c>
      <c r="C36" s="68" t="s">
        <v>93</v>
      </c>
      <c r="D36" s="142" t="s">
        <v>208</v>
      </c>
      <c r="E36" s="142"/>
      <c r="F36" s="142" t="s">
        <v>209</v>
      </c>
      <c r="G36" s="68">
        <v>2</v>
      </c>
      <c r="H36" s="68" t="s">
        <v>256</v>
      </c>
      <c r="I36" s="69" t="s">
        <v>255</v>
      </c>
      <c r="J36" s="154" t="s">
        <v>240</v>
      </c>
      <c r="K36" s="101">
        <v>729</v>
      </c>
      <c r="L36" s="101">
        <v>873.45</v>
      </c>
      <c r="M36" s="73">
        <f t="shared" ref="M36:M50" si="3">SUM(G36*K36)</f>
        <v>1458</v>
      </c>
      <c r="N36" s="73">
        <f t="shared" si="2"/>
        <v>1746.9</v>
      </c>
      <c r="O36" s="68"/>
      <c r="P36" s="68"/>
      <c r="Q36" s="91"/>
      <c r="R36" s="91"/>
      <c r="S36" s="91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134"/>
      <c r="BQ36" s="134"/>
      <c r="BR36" s="134"/>
      <c r="BS36" s="134"/>
      <c r="BT36" s="134"/>
      <c r="BU36" s="134"/>
      <c r="BV36" s="134"/>
      <c r="BW36" s="134"/>
      <c r="BX36" s="134"/>
      <c r="BY36" s="134"/>
      <c r="BZ36" s="134"/>
      <c r="CA36" s="134"/>
      <c r="CB36" s="134"/>
      <c r="CC36" s="134"/>
      <c r="CD36" s="134"/>
      <c r="CE36" s="134"/>
      <c r="CF36" s="134"/>
      <c r="CG36" s="134"/>
      <c r="CH36" s="134"/>
      <c r="CI36" s="134"/>
      <c r="CJ36" s="134"/>
      <c r="CK36" s="134"/>
    </row>
    <row r="37" spans="1:89" s="116" customFormat="1" ht="15" customHeight="1" x14ac:dyDescent="0.35">
      <c r="A37" s="125" t="s">
        <v>205</v>
      </c>
      <c r="B37" s="114" t="s">
        <v>92</v>
      </c>
      <c r="C37" s="114" t="s">
        <v>93</v>
      </c>
      <c r="D37" s="114" t="s">
        <v>225</v>
      </c>
      <c r="E37" s="114"/>
      <c r="F37" s="114" t="s">
        <v>556</v>
      </c>
      <c r="G37" s="114">
        <v>1</v>
      </c>
      <c r="H37" s="114" t="s">
        <v>256</v>
      </c>
      <c r="I37" s="114" t="s">
        <v>129</v>
      </c>
      <c r="J37" s="155" t="s">
        <v>241</v>
      </c>
      <c r="K37" s="115">
        <v>259.99</v>
      </c>
      <c r="L37" s="115">
        <v>303.39</v>
      </c>
      <c r="M37" s="115">
        <f t="shared" si="3"/>
        <v>259.99</v>
      </c>
      <c r="N37" s="115">
        <f t="shared" si="2"/>
        <v>303.39</v>
      </c>
      <c r="O37" s="114" t="s">
        <v>598</v>
      </c>
      <c r="P37" s="114"/>
      <c r="Q37" s="117"/>
      <c r="R37" s="117"/>
      <c r="S37" s="117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134"/>
      <c r="BQ37" s="134"/>
      <c r="BR37" s="134"/>
      <c r="BS37" s="134"/>
      <c r="BT37" s="134"/>
      <c r="BU37" s="134"/>
      <c r="BV37" s="134"/>
      <c r="BW37" s="134"/>
      <c r="BX37" s="134"/>
      <c r="BY37" s="134"/>
      <c r="BZ37" s="134"/>
      <c r="CA37" s="134"/>
      <c r="CB37" s="134"/>
      <c r="CC37" s="134"/>
      <c r="CD37" s="134"/>
      <c r="CE37" s="134"/>
      <c r="CF37" s="134"/>
      <c r="CG37" s="134"/>
      <c r="CH37" s="134"/>
      <c r="CI37" s="134"/>
      <c r="CJ37" s="134"/>
      <c r="CK37" s="134"/>
    </row>
    <row r="38" spans="1:89" ht="15" customHeight="1" x14ac:dyDescent="0.35">
      <c r="A38" s="123" t="s">
        <v>206</v>
      </c>
      <c r="B38" s="68" t="s">
        <v>92</v>
      </c>
      <c r="C38" s="68" t="s">
        <v>93</v>
      </c>
      <c r="D38" s="142" t="s">
        <v>208</v>
      </c>
      <c r="E38" s="142"/>
      <c r="F38" s="142" t="s">
        <v>557</v>
      </c>
      <c r="G38" s="68">
        <v>1</v>
      </c>
      <c r="H38" s="68" t="s">
        <v>256</v>
      </c>
      <c r="I38" s="69" t="s">
        <v>255</v>
      </c>
      <c r="J38" s="154" t="s">
        <v>242</v>
      </c>
      <c r="K38" s="101">
        <v>149</v>
      </c>
      <c r="L38" s="101">
        <v>183.25</v>
      </c>
      <c r="M38" s="73">
        <f t="shared" si="3"/>
        <v>149</v>
      </c>
      <c r="N38" s="73">
        <f t="shared" si="2"/>
        <v>183.25</v>
      </c>
      <c r="O38" s="68"/>
      <c r="P38" s="68"/>
      <c r="Q38" s="91"/>
      <c r="R38" s="91"/>
      <c r="S38" s="91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134"/>
      <c r="BQ38" s="134"/>
      <c r="BR38" s="134"/>
      <c r="BS38" s="134"/>
      <c r="BT38" s="134"/>
      <c r="BU38" s="134"/>
      <c r="BV38" s="134"/>
      <c r="BW38" s="134"/>
      <c r="BX38" s="134"/>
      <c r="BY38" s="134"/>
      <c r="BZ38" s="134"/>
      <c r="CA38" s="134"/>
      <c r="CB38" s="134"/>
      <c r="CC38" s="134"/>
      <c r="CD38" s="134"/>
      <c r="CE38" s="134"/>
      <c r="CF38" s="134"/>
      <c r="CG38" s="134"/>
      <c r="CH38" s="134"/>
      <c r="CI38" s="134"/>
      <c r="CJ38" s="134"/>
      <c r="CK38" s="134"/>
    </row>
    <row r="39" spans="1:89" ht="15" customHeight="1" x14ac:dyDescent="0.35">
      <c r="A39" s="123" t="s">
        <v>216</v>
      </c>
      <c r="B39" s="68" t="s">
        <v>92</v>
      </c>
      <c r="C39" s="68" t="s">
        <v>93</v>
      </c>
      <c r="D39" s="142" t="s">
        <v>208</v>
      </c>
      <c r="E39" s="142"/>
      <c r="F39" s="142" t="s">
        <v>558</v>
      </c>
      <c r="G39" s="69">
        <v>6</v>
      </c>
      <c r="H39" s="68" t="s">
        <v>267</v>
      </c>
      <c r="I39" s="69" t="s">
        <v>255</v>
      </c>
      <c r="J39" s="154" t="s">
        <v>243</v>
      </c>
      <c r="K39" s="101">
        <v>225.59</v>
      </c>
      <c r="L39" s="101">
        <v>274.39</v>
      </c>
      <c r="M39" s="73">
        <f t="shared" si="3"/>
        <v>1353.54</v>
      </c>
      <c r="N39" s="73">
        <f t="shared" si="2"/>
        <v>1646.34</v>
      </c>
      <c r="O39" s="68"/>
      <c r="P39" s="68"/>
      <c r="Q39" s="91"/>
      <c r="R39" s="91"/>
      <c r="S39" s="91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4"/>
      <c r="AR39" s="134"/>
      <c r="AS39" s="134"/>
      <c r="AT39" s="134"/>
      <c r="AU39" s="134"/>
      <c r="AV39" s="134"/>
      <c r="AW39" s="134"/>
      <c r="AX39" s="134"/>
      <c r="AY39" s="134"/>
      <c r="AZ39" s="134"/>
      <c r="BA39" s="134"/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4"/>
      <c r="BO39" s="134"/>
      <c r="BP39" s="134"/>
      <c r="BQ39" s="134"/>
      <c r="BR39" s="134"/>
      <c r="BS39" s="134"/>
      <c r="BT39" s="134"/>
      <c r="BU39" s="134"/>
      <c r="BV39" s="134"/>
      <c r="BW39" s="134"/>
      <c r="BX39" s="134"/>
      <c r="BY39" s="134"/>
      <c r="BZ39" s="134"/>
      <c r="CA39" s="134"/>
      <c r="CB39" s="134"/>
      <c r="CC39" s="134"/>
      <c r="CD39" s="134"/>
      <c r="CE39" s="134"/>
      <c r="CF39" s="134"/>
      <c r="CG39" s="134"/>
      <c r="CH39" s="134"/>
      <c r="CI39" s="134"/>
      <c r="CJ39" s="134"/>
      <c r="CK39" s="134"/>
    </row>
    <row r="40" spans="1:89" ht="15" customHeight="1" x14ac:dyDescent="0.35">
      <c r="A40" s="123" t="s">
        <v>217</v>
      </c>
      <c r="B40" s="68" t="s">
        <v>92</v>
      </c>
      <c r="C40" s="68" t="s">
        <v>93</v>
      </c>
      <c r="D40" s="142" t="s">
        <v>208</v>
      </c>
      <c r="E40" s="142"/>
      <c r="F40" s="142" t="s">
        <v>210</v>
      </c>
      <c r="G40" s="69">
        <v>2</v>
      </c>
      <c r="H40" s="68" t="s">
        <v>266</v>
      </c>
      <c r="I40" s="69" t="s">
        <v>255</v>
      </c>
      <c r="J40" s="154" t="s">
        <v>244</v>
      </c>
      <c r="K40" s="101">
        <v>269</v>
      </c>
      <c r="L40" s="101">
        <v>326.05</v>
      </c>
      <c r="M40" s="73">
        <f t="shared" si="3"/>
        <v>538</v>
      </c>
      <c r="N40" s="73">
        <f t="shared" si="2"/>
        <v>652.1</v>
      </c>
      <c r="O40" s="68"/>
      <c r="P40" s="68"/>
      <c r="Q40" s="68"/>
      <c r="R40" s="68"/>
      <c r="S40" s="68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134"/>
      <c r="BQ40" s="134"/>
      <c r="BR40" s="134"/>
      <c r="BS40" s="134"/>
      <c r="BT40" s="134"/>
      <c r="BU40" s="134"/>
      <c r="BV40" s="134"/>
      <c r="BW40" s="134"/>
      <c r="BX40" s="134"/>
      <c r="BY40" s="134"/>
      <c r="BZ40" s="134"/>
      <c r="CA40" s="134"/>
      <c r="CB40" s="134"/>
      <c r="CC40" s="134"/>
      <c r="CD40" s="134"/>
      <c r="CE40" s="134"/>
      <c r="CF40" s="134"/>
      <c r="CG40" s="134"/>
      <c r="CH40" s="134"/>
      <c r="CI40" s="134"/>
      <c r="CJ40" s="134"/>
      <c r="CK40" s="134"/>
    </row>
    <row r="41" spans="1:89" ht="15" customHeight="1" x14ac:dyDescent="0.35">
      <c r="A41" s="123" t="s">
        <v>218</v>
      </c>
      <c r="B41" s="68" t="s">
        <v>92</v>
      </c>
      <c r="C41" s="68" t="s">
        <v>93</v>
      </c>
      <c r="D41" s="142" t="s">
        <v>208</v>
      </c>
      <c r="E41" s="142"/>
      <c r="F41" s="142" t="s">
        <v>268</v>
      </c>
      <c r="G41" s="69">
        <v>10</v>
      </c>
      <c r="H41" s="68" t="s">
        <v>256</v>
      </c>
      <c r="I41" s="69" t="s">
        <v>255</v>
      </c>
      <c r="J41" s="154" t="s">
        <v>245</v>
      </c>
      <c r="K41" s="101">
        <v>349</v>
      </c>
      <c r="L41" s="101">
        <v>415.904</v>
      </c>
      <c r="M41" s="73">
        <f t="shared" si="3"/>
        <v>3490</v>
      </c>
      <c r="N41" s="73">
        <f t="shared" si="2"/>
        <v>4159.04</v>
      </c>
      <c r="O41" s="68"/>
      <c r="P41" s="68"/>
      <c r="Q41" s="68"/>
      <c r="R41" s="68"/>
      <c r="S41" s="68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  <c r="AN41" s="134"/>
      <c r="AO41" s="134"/>
      <c r="AP41" s="134"/>
      <c r="AQ41" s="134"/>
      <c r="AR41" s="134"/>
      <c r="AS41" s="134"/>
      <c r="AT41" s="134"/>
      <c r="AU41" s="134"/>
      <c r="AV41" s="134"/>
      <c r="AW41" s="134"/>
      <c r="AX41" s="134"/>
      <c r="AY41" s="134"/>
      <c r="AZ41" s="134"/>
      <c r="BA41" s="134"/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4"/>
      <c r="BO41" s="134"/>
      <c r="BP41" s="134"/>
      <c r="BQ41" s="134"/>
      <c r="BR41" s="134"/>
      <c r="BS41" s="134"/>
      <c r="BT41" s="134"/>
      <c r="BU41" s="134"/>
      <c r="BV41" s="134"/>
      <c r="BW41" s="134"/>
      <c r="BX41" s="134"/>
      <c r="BY41" s="134"/>
      <c r="BZ41" s="134"/>
      <c r="CA41" s="134"/>
      <c r="CB41" s="134"/>
      <c r="CC41" s="134"/>
      <c r="CD41" s="134"/>
      <c r="CE41" s="134"/>
      <c r="CF41" s="134"/>
      <c r="CG41" s="134"/>
      <c r="CH41" s="134"/>
      <c r="CI41" s="134"/>
      <c r="CJ41" s="134"/>
      <c r="CK41" s="134"/>
    </row>
    <row r="42" spans="1:89" ht="15" customHeight="1" x14ac:dyDescent="0.35">
      <c r="A42" s="123" t="s">
        <v>219</v>
      </c>
      <c r="B42" s="68" t="s">
        <v>92</v>
      </c>
      <c r="C42" s="68" t="s">
        <v>93</v>
      </c>
      <c r="D42" s="142" t="s">
        <v>225</v>
      </c>
      <c r="E42" s="142"/>
      <c r="F42" s="142" t="s">
        <v>211</v>
      </c>
      <c r="G42" s="69">
        <v>5</v>
      </c>
      <c r="H42" s="68" t="s">
        <v>269</v>
      </c>
      <c r="I42" s="69" t="s">
        <v>252</v>
      </c>
      <c r="J42" s="154" t="s">
        <v>246</v>
      </c>
      <c r="K42" s="101">
        <v>239</v>
      </c>
      <c r="L42" s="101">
        <v>284.41000000000003</v>
      </c>
      <c r="M42" s="73">
        <f t="shared" si="3"/>
        <v>1195</v>
      </c>
      <c r="N42" s="73">
        <f t="shared" si="2"/>
        <v>1422.0500000000002</v>
      </c>
      <c r="O42" s="68"/>
      <c r="P42" s="68"/>
      <c r="Q42" s="68"/>
      <c r="R42" s="68"/>
      <c r="S42" s="68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  <c r="BJ42" s="134"/>
      <c r="BK42" s="134"/>
      <c r="BL42" s="134"/>
      <c r="BM42" s="134"/>
      <c r="BN42" s="134"/>
      <c r="BO42" s="134"/>
      <c r="BP42" s="134"/>
      <c r="BQ42" s="134"/>
      <c r="BR42" s="134"/>
      <c r="BS42" s="134"/>
      <c r="BT42" s="134"/>
      <c r="BU42" s="134"/>
      <c r="BV42" s="134"/>
      <c r="BW42" s="134"/>
      <c r="BX42" s="134"/>
      <c r="BY42" s="134"/>
      <c r="BZ42" s="134"/>
      <c r="CA42" s="134"/>
      <c r="CB42" s="134"/>
      <c r="CC42" s="134"/>
      <c r="CD42" s="134"/>
      <c r="CE42" s="134"/>
      <c r="CF42" s="134"/>
      <c r="CG42" s="134"/>
      <c r="CH42" s="134"/>
      <c r="CI42" s="134"/>
      <c r="CJ42" s="134"/>
      <c r="CK42" s="134"/>
    </row>
    <row r="43" spans="1:89" s="116" customFormat="1" ht="15" customHeight="1" x14ac:dyDescent="0.35">
      <c r="A43" s="125" t="s">
        <v>220</v>
      </c>
      <c r="B43" s="114" t="s">
        <v>92</v>
      </c>
      <c r="C43" s="114" t="s">
        <v>93</v>
      </c>
      <c r="D43" s="114" t="s">
        <v>225</v>
      </c>
      <c r="E43" s="114"/>
      <c r="F43" s="114" t="s">
        <v>212</v>
      </c>
      <c r="G43" s="114">
        <v>6</v>
      </c>
      <c r="H43" s="114" t="s">
        <v>171</v>
      </c>
      <c r="I43" s="114" t="s">
        <v>171</v>
      </c>
      <c r="J43" s="155" t="s">
        <v>247</v>
      </c>
      <c r="K43" s="115">
        <v>139</v>
      </c>
      <c r="L43" s="115">
        <v>165.41</v>
      </c>
      <c r="M43" s="115">
        <f t="shared" si="3"/>
        <v>834</v>
      </c>
      <c r="N43" s="115">
        <f t="shared" si="2"/>
        <v>992.46</v>
      </c>
      <c r="O43" s="114" t="s">
        <v>598</v>
      </c>
      <c r="P43" s="114"/>
      <c r="Q43" s="114"/>
      <c r="R43" s="114"/>
      <c r="S43" s="11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4"/>
      <c r="AU43" s="134"/>
      <c r="AV43" s="134"/>
      <c r="AW43" s="134"/>
      <c r="AX43" s="134"/>
      <c r="AY43" s="134"/>
      <c r="AZ43" s="134"/>
      <c r="BA43" s="134"/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4"/>
      <c r="BO43" s="134"/>
      <c r="BP43" s="134"/>
      <c r="BQ43" s="134"/>
      <c r="BR43" s="134"/>
      <c r="BS43" s="134"/>
      <c r="BT43" s="134"/>
      <c r="BU43" s="134"/>
      <c r="BV43" s="134"/>
      <c r="BW43" s="134"/>
      <c r="BX43" s="134"/>
      <c r="BY43" s="134"/>
      <c r="BZ43" s="134"/>
      <c r="CA43" s="134"/>
      <c r="CB43" s="134"/>
      <c r="CC43" s="134"/>
      <c r="CD43" s="134"/>
      <c r="CE43" s="134"/>
      <c r="CF43" s="134"/>
      <c r="CG43" s="134"/>
      <c r="CH43" s="134"/>
      <c r="CI43" s="134"/>
      <c r="CJ43" s="134"/>
      <c r="CK43" s="134"/>
    </row>
    <row r="44" spans="1:89" ht="15" customHeight="1" x14ac:dyDescent="0.35">
      <c r="A44" s="123" t="s">
        <v>221</v>
      </c>
      <c r="B44" s="68" t="s">
        <v>92</v>
      </c>
      <c r="C44" s="68" t="s">
        <v>93</v>
      </c>
      <c r="D44" s="142" t="s">
        <v>225</v>
      </c>
      <c r="E44" s="142"/>
      <c r="F44" s="142" t="s">
        <v>213</v>
      </c>
      <c r="G44" s="68">
        <v>3</v>
      </c>
      <c r="H44" s="68"/>
      <c r="I44" s="69" t="s">
        <v>252</v>
      </c>
      <c r="J44" s="154" t="s">
        <v>248</v>
      </c>
      <c r="K44" s="101">
        <v>105</v>
      </c>
      <c r="L44" s="101">
        <v>124.9</v>
      </c>
      <c r="M44" s="73">
        <f t="shared" si="3"/>
        <v>315</v>
      </c>
      <c r="N44" s="73">
        <f t="shared" si="2"/>
        <v>374.70000000000005</v>
      </c>
      <c r="O44" s="68"/>
      <c r="P44" s="68"/>
      <c r="Q44" s="68"/>
      <c r="R44" s="68"/>
      <c r="S44" s="68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4"/>
      <c r="AX44" s="134"/>
      <c r="AY44" s="134"/>
      <c r="AZ44" s="134"/>
      <c r="BA44" s="134"/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4"/>
      <c r="BO44" s="134"/>
      <c r="BP44" s="134"/>
      <c r="BQ44" s="134"/>
      <c r="BR44" s="134"/>
      <c r="BS44" s="134"/>
      <c r="BT44" s="134"/>
      <c r="BU44" s="134"/>
      <c r="BV44" s="134"/>
      <c r="BW44" s="134"/>
      <c r="BX44" s="134"/>
      <c r="BY44" s="134"/>
      <c r="BZ44" s="134"/>
      <c r="CA44" s="134"/>
      <c r="CB44" s="134"/>
      <c r="CC44" s="134"/>
      <c r="CD44" s="134"/>
      <c r="CE44" s="134"/>
      <c r="CF44" s="134"/>
      <c r="CG44" s="134"/>
      <c r="CH44" s="134"/>
      <c r="CI44" s="134"/>
      <c r="CJ44" s="134"/>
      <c r="CK44" s="134"/>
    </row>
    <row r="45" spans="1:89" ht="15" customHeight="1" x14ac:dyDescent="0.35">
      <c r="A45" s="123" t="s">
        <v>222</v>
      </c>
      <c r="B45" s="68" t="s">
        <v>92</v>
      </c>
      <c r="C45" s="68" t="s">
        <v>93</v>
      </c>
      <c r="D45" s="142" t="s">
        <v>225</v>
      </c>
      <c r="E45" s="142"/>
      <c r="F45" s="142" t="s">
        <v>271</v>
      </c>
      <c r="G45" s="68">
        <v>5</v>
      </c>
      <c r="H45" s="68"/>
      <c r="I45" s="69" t="s">
        <v>253</v>
      </c>
      <c r="J45" s="154" t="s">
        <v>249</v>
      </c>
      <c r="K45" s="101">
        <v>563.87</v>
      </c>
      <c r="L45" s="101">
        <v>671</v>
      </c>
      <c r="M45" s="73">
        <f t="shared" si="3"/>
        <v>2819.35</v>
      </c>
      <c r="N45" s="73">
        <f t="shared" si="2"/>
        <v>3355</v>
      </c>
      <c r="O45" s="68"/>
      <c r="P45" s="68"/>
      <c r="Q45" s="68"/>
      <c r="R45" s="68"/>
      <c r="S45" s="68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4"/>
      <c r="AW45" s="134"/>
      <c r="AX45" s="134"/>
      <c r="AY45" s="134"/>
      <c r="AZ45" s="134"/>
      <c r="BA45" s="134"/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  <c r="BM45" s="134"/>
      <c r="BN45" s="134"/>
      <c r="BO45" s="134"/>
      <c r="BP45" s="134"/>
      <c r="BQ45" s="134"/>
      <c r="BR45" s="134"/>
      <c r="BS45" s="134"/>
      <c r="BT45" s="134"/>
      <c r="BU45" s="134"/>
      <c r="BV45" s="134"/>
      <c r="BW45" s="134"/>
      <c r="BX45" s="134"/>
      <c r="BY45" s="134"/>
      <c r="BZ45" s="134"/>
      <c r="CA45" s="134"/>
      <c r="CB45" s="134"/>
      <c r="CC45" s="134"/>
      <c r="CD45" s="134"/>
      <c r="CE45" s="134"/>
      <c r="CF45" s="134"/>
      <c r="CG45" s="134"/>
      <c r="CH45" s="134"/>
      <c r="CI45" s="134"/>
      <c r="CJ45" s="134"/>
      <c r="CK45" s="134"/>
    </row>
    <row r="46" spans="1:89" s="116" customFormat="1" ht="15" customHeight="1" x14ac:dyDescent="0.35">
      <c r="A46" s="125" t="s">
        <v>223</v>
      </c>
      <c r="B46" s="114" t="s">
        <v>92</v>
      </c>
      <c r="C46" s="114" t="s">
        <v>93</v>
      </c>
      <c r="D46" s="114" t="s">
        <v>225</v>
      </c>
      <c r="E46" s="114"/>
      <c r="F46" s="114" t="s">
        <v>214</v>
      </c>
      <c r="G46" s="114">
        <v>2</v>
      </c>
      <c r="H46" s="114" t="s">
        <v>272</v>
      </c>
      <c r="I46" s="114" t="s">
        <v>255</v>
      </c>
      <c r="J46" s="155" t="s">
        <v>250</v>
      </c>
      <c r="K46" s="115">
        <v>444.99</v>
      </c>
      <c r="L46" s="115">
        <f>535.48</f>
        <v>535.48</v>
      </c>
      <c r="M46" s="115">
        <f t="shared" si="3"/>
        <v>889.98</v>
      </c>
      <c r="N46" s="115">
        <f t="shared" si="2"/>
        <v>1070.96</v>
      </c>
      <c r="O46" s="114" t="s">
        <v>598</v>
      </c>
      <c r="P46" s="114"/>
      <c r="Q46" s="114"/>
      <c r="R46" s="114"/>
      <c r="S46" s="11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4"/>
      <c r="AX46" s="134"/>
      <c r="AY46" s="134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4"/>
      <c r="BO46" s="134"/>
      <c r="BP46" s="134"/>
      <c r="BQ46" s="134"/>
      <c r="BR46" s="134"/>
      <c r="BS46" s="134"/>
      <c r="BT46" s="134"/>
      <c r="BU46" s="134"/>
      <c r="BV46" s="134"/>
      <c r="BW46" s="134"/>
      <c r="BX46" s="134"/>
      <c r="BY46" s="134"/>
      <c r="BZ46" s="134"/>
      <c r="CA46" s="134"/>
      <c r="CB46" s="134"/>
      <c r="CC46" s="134"/>
      <c r="CD46" s="134"/>
      <c r="CE46" s="134"/>
      <c r="CF46" s="134"/>
      <c r="CG46" s="134"/>
      <c r="CH46" s="134"/>
      <c r="CI46" s="134"/>
      <c r="CJ46" s="134"/>
      <c r="CK46" s="134"/>
    </row>
    <row r="47" spans="1:89" s="116" customFormat="1" ht="15" customHeight="1" x14ac:dyDescent="0.35">
      <c r="A47" s="125" t="s">
        <v>224</v>
      </c>
      <c r="B47" s="114" t="s">
        <v>92</v>
      </c>
      <c r="C47" s="114" t="s">
        <v>93</v>
      </c>
      <c r="D47" s="114" t="s">
        <v>225</v>
      </c>
      <c r="E47" s="114"/>
      <c r="F47" s="114" t="s">
        <v>215</v>
      </c>
      <c r="G47" s="114">
        <v>2</v>
      </c>
      <c r="H47" s="114" t="s">
        <v>272</v>
      </c>
      <c r="I47" s="114" t="s">
        <v>255</v>
      </c>
      <c r="J47" s="155" t="s">
        <v>251</v>
      </c>
      <c r="K47" s="115">
        <v>644.99</v>
      </c>
      <c r="L47" s="115">
        <v>773.48</v>
      </c>
      <c r="M47" s="115">
        <f t="shared" si="3"/>
        <v>1289.98</v>
      </c>
      <c r="N47" s="115">
        <f t="shared" si="2"/>
        <v>1546.96</v>
      </c>
      <c r="O47" s="114" t="s">
        <v>598</v>
      </c>
      <c r="P47" s="114"/>
      <c r="Q47" s="114"/>
      <c r="R47" s="114"/>
      <c r="S47" s="11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34"/>
      <c r="AV47" s="134"/>
      <c r="AW47" s="134"/>
      <c r="AX47" s="134"/>
      <c r="AY47" s="134"/>
      <c r="AZ47" s="134"/>
      <c r="BA47" s="134"/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4"/>
      <c r="BO47" s="134"/>
      <c r="BP47" s="134"/>
      <c r="BQ47" s="134"/>
      <c r="BR47" s="134"/>
      <c r="BS47" s="134"/>
      <c r="BT47" s="134"/>
      <c r="BU47" s="134"/>
      <c r="BV47" s="134"/>
      <c r="BW47" s="134"/>
      <c r="BX47" s="134"/>
      <c r="BY47" s="134"/>
      <c r="BZ47" s="134"/>
      <c r="CA47" s="134"/>
      <c r="CB47" s="134"/>
      <c r="CC47" s="134"/>
      <c r="CD47" s="134"/>
      <c r="CE47" s="134"/>
      <c r="CF47" s="134"/>
      <c r="CG47" s="134"/>
      <c r="CH47" s="134"/>
      <c r="CI47" s="134"/>
      <c r="CJ47" s="134"/>
      <c r="CK47" s="134"/>
    </row>
    <row r="48" spans="1:89" ht="15" customHeight="1" x14ac:dyDescent="0.35">
      <c r="A48" s="123" t="s">
        <v>476</v>
      </c>
      <c r="B48" s="68" t="s">
        <v>92</v>
      </c>
      <c r="C48" s="68" t="s">
        <v>93</v>
      </c>
      <c r="D48" s="69" t="s">
        <v>454</v>
      </c>
      <c r="E48" s="69"/>
      <c r="F48" s="69" t="s">
        <v>478</v>
      </c>
      <c r="G48" s="68">
        <v>1</v>
      </c>
      <c r="H48" s="69" t="s">
        <v>479</v>
      </c>
      <c r="I48" s="69" t="s">
        <v>480</v>
      </c>
      <c r="J48" s="154"/>
      <c r="K48" s="101">
        <v>8084.34</v>
      </c>
      <c r="L48" s="101">
        <v>9620.36</v>
      </c>
      <c r="M48" s="73">
        <f t="shared" si="3"/>
        <v>8084.34</v>
      </c>
      <c r="N48" s="73">
        <f t="shared" si="2"/>
        <v>9620.36</v>
      </c>
      <c r="O48" s="92"/>
      <c r="P48" s="68"/>
      <c r="Q48" s="68"/>
      <c r="R48" s="68"/>
      <c r="S48" s="68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134"/>
      <c r="AY48" s="134"/>
      <c r="AZ48" s="134"/>
      <c r="BA48" s="134"/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4"/>
      <c r="BO48" s="134"/>
      <c r="BP48" s="134"/>
      <c r="BQ48" s="134"/>
      <c r="BR48" s="134"/>
      <c r="BS48" s="134"/>
      <c r="BT48" s="134"/>
      <c r="BU48" s="134"/>
      <c r="BV48" s="134"/>
      <c r="BW48" s="134"/>
      <c r="BX48" s="134"/>
      <c r="BY48" s="134"/>
      <c r="BZ48" s="134"/>
      <c r="CA48" s="134"/>
      <c r="CB48" s="134"/>
      <c r="CC48" s="134"/>
      <c r="CD48" s="134"/>
      <c r="CE48" s="134"/>
      <c r="CF48" s="134"/>
      <c r="CG48" s="134"/>
      <c r="CH48" s="134"/>
      <c r="CI48" s="134"/>
      <c r="CJ48" s="134"/>
      <c r="CK48" s="134"/>
    </row>
    <row r="49" spans="1:89" s="125" customFormat="1" ht="15" customHeight="1" x14ac:dyDescent="0.35">
      <c r="A49" s="125" t="s">
        <v>477</v>
      </c>
      <c r="B49" s="125" t="s">
        <v>92</v>
      </c>
      <c r="C49" s="125" t="s">
        <v>93</v>
      </c>
      <c r="D49" s="143" t="s">
        <v>454</v>
      </c>
      <c r="F49" s="125" t="s">
        <v>481</v>
      </c>
      <c r="G49" s="132">
        <v>1</v>
      </c>
      <c r="H49" s="125" t="s">
        <v>482</v>
      </c>
      <c r="I49" s="125" t="s">
        <v>483</v>
      </c>
      <c r="J49" s="156"/>
      <c r="K49" s="115">
        <v>1901</v>
      </c>
      <c r="L49" s="115">
        <v>2262.19</v>
      </c>
      <c r="M49" s="115">
        <f t="shared" si="3"/>
        <v>1901</v>
      </c>
      <c r="N49" s="115">
        <f t="shared" si="2"/>
        <v>2262.19</v>
      </c>
      <c r="O49" s="125" t="s">
        <v>699</v>
      </c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  <c r="BX49" s="136"/>
      <c r="BY49" s="136"/>
      <c r="BZ49" s="136"/>
      <c r="CA49" s="136"/>
      <c r="CB49" s="136"/>
      <c r="CC49" s="136"/>
      <c r="CD49" s="136"/>
      <c r="CE49" s="136"/>
      <c r="CF49" s="136"/>
      <c r="CG49" s="136"/>
      <c r="CH49" s="136"/>
      <c r="CI49" s="136"/>
      <c r="CJ49" s="136"/>
      <c r="CK49" s="136"/>
    </row>
    <row r="50" spans="1:89" ht="15" customHeight="1" x14ac:dyDescent="0.35">
      <c r="A50" s="123" t="s">
        <v>484</v>
      </c>
      <c r="B50" s="68" t="s">
        <v>92</v>
      </c>
      <c r="C50" s="68" t="s">
        <v>93</v>
      </c>
      <c r="D50" s="69" t="s">
        <v>454</v>
      </c>
      <c r="E50" s="69"/>
      <c r="F50" s="93" t="s">
        <v>485</v>
      </c>
      <c r="G50" s="93">
        <v>1</v>
      </c>
      <c r="H50" s="93" t="s">
        <v>642</v>
      </c>
      <c r="I50" s="93"/>
      <c r="J50" s="154"/>
      <c r="K50" s="130"/>
      <c r="L50" s="130"/>
      <c r="M50" s="139">
        <f t="shared" si="3"/>
        <v>0</v>
      </c>
      <c r="N50" s="139">
        <f t="shared" si="2"/>
        <v>0</v>
      </c>
      <c r="O50" s="131"/>
      <c r="P50" s="68"/>
      <c r="Q50" s="68"/>
      <c r="R50" s="68"/>
      <c r="S50" s="68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  <c r="BY50" s="134"/>
      <c r="BZ50" s="134"/>
      <c r="CA50" s="134"/>
      <c r="CB50" s="134"/>
      <c r="CC50" s="134"/>
      <c r="CD50" s="134"/>
      <c r="CE50" s="134"/>
      <c r="CF50" s="134"/>
      <c r="CG50" s="134"/>
      <c r="CH50" s="134"/>
      <c r="CI50" s="134"/>
      <c r="CJ50" s="134"/>
      <c r="CK50" s="134"/>
    </row>
    <row r="51" spans="1:89" s="65" customFormat="1" ht="30" customHeight="1" thickBot="1" x14ac:dyDescent="0.5">
      <c r="A51" s="123"/>
      <c r="B51" s="68" t="s">
        <v>92</v>
      </c>
      <c r="C51" s="68"/>
      <c r="D51" s="68"/>
      <c r="E51" s="68"/>
      <c r="F51" s="68"/>
      <c r="G51" s="68"/>
      <c r="H51" s="68"/>
      <c r="I51" s="68"/>
      <c r="J51" s="157"/>
      <c r="K51" s="73"/>
      <c r="L51" s="140" t="s">
        <v>701</v>
      </c>
      <c r="M51" s="95">
        <f>N51/1.19</f>
        <v>41684.210084033628</v>
      </c>
      <c r="N51" s="86">
        <f>SUM(N3:N50)</f>
        <v>49604.210000000014</v>
      </c>
      <c r="O51" s="96"/>
      <c r="P51" s="68"/>
      <c r="Q51" s="97"/>
      <c r="R51" s="68"/>
      <c r="S51" s="68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  <c r="CC51" s="137"/>
      <c r="CD51" s="137"/>
      <c r="CE51" s="137"/>
      <c r="CF51" s="137"/>
      <c r="CG51" s="137"/>
      <c r="CH51" s="137"/>
      <c r="CI51" s="137"/>
      <c r="CJ51" s="137"/>
      <c r="CK51" s="137"/>
    </row>
    <row r="52" spans="1:89" ht="15" customHeight="1" x14ac:dyDescent="0.35">
      <c r="A52" s="85" t="s">
        <v>288</v>
      </c>
      <c r="B52" s="68" t="s">
        <v>289</v>
      </c>
      <c r="C52" s="68" t="s">
        <v>93</v>
      </c>
      <c r="D52" s="150" t="s">
        <v>208</v>
      </c>
      <c r="E52" s="150"/>
      <c r="F52" s="150" t="s">
        <v>210</v>
      </c>
      <c r="G52" s="68">
        <v>2</v>
      </c>
      <c r="H52" s="69" t="s">
        <v>426</v>
      </c>
      <c r="I52" s="69" t="s">
        <v>424</v>
      </c>
      <c r="J52" s="154" t="s">
        <v>425</v>
      </c>
      <c r="K52" s="73"/>
      <c r="L52" s="73">
        <v>174.9</v>
      </c>
      <c r="M52" s="73">
        <f t="shared" ref="M52:M66" si="4">SUM(G52*K52)</f>
        <v>0</v>
      </c>
      <c r="N52" s="73">
        <f t="shared" ref="N52:N66" si="5">SUM(G52*L52)</f>
        <v>349.8</v>
      </c>
      <c r="O52" s="68"/>
      <c r="P52" s="68"/>
      <c r="Q52" s="68"/>
      <c r="R52" s="68"/>
      <c r="S52" s="68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4"/>
      <c r="BO52" s="134"/>
      <c r="BP52" s="134"/>
      <c r="BQ52" s="134"/>
      <c r="BR52" s="134"/>
      <c r="BS52" s="134"/>
      <c r="BT52" s="134"/>
      <c r="BU52" s="134"/>
      <c r="BV52" s="134"/>
      <c r="BW52" s="134"/>
      <c r="BX52" s="134"/>
      <c r="BY52" s="134"/>
      <c r="BZ52" s="134"/>
      <c r="CA52" s="134"/>
      <c r="CB52" s="134"/>
      <c r="CC52" s="134"/>
      <c r="CD52" s="134"/>
      <c r="CE52" s="134"/>
      <c r="CF52" s="134"/>
      <c r="CG52" s="134"/>
      <c r="CH52" s="134"/>
      <c r="CI52" s="134"/>
      <c r="CJ52" s="134"/>
      <c r="CK52" s="134"/>
    </row>
    <row r="53" spans="1:89" ht="15" customHeight="1" x14ac:dyDescent="0.35">
      <c r="A53" s="85" t="s">
        <v>290</v>
      </c>
      <c r="B53" s="68" t="s">
        <v>289</v>
      </c>
      <c r="C53" s="68" t="s">
        <v>93</v>
      </c>
      <c r="D53" s="150" t="s">
        <v>208</v>
      </c>
      <c r="E53" s="150"/>
      <c r="F53" s="150" t="s">
        <v>470</v>
      </c>
      <c r="G53" s="68">
        <v>1</v>
      </c>
      <c r="H53" s="69" t="s">
        <v>428</v>
      </c>
      <c r="I53" s="69" t="s">
        <v>429</v>
      </c>
      <c r="J53" s="154" t="s">
        <v>427</v>
      </c>
      <c r="K53" s="73"/>
      <c r="L53" s="73">
        <v>1129</v>
      </c>
      <c r="M53" s="73">
        <f t="shared" si="4"/>
        <v>0</v>
      </c>
      <c r="N53" s="73">
        <f t="shared" si="5"/>
        <v>1129</v>
      </c>
      <c r="O53" s="68"/>
      <c r="P53" s="68"/>
      <c r="Q53" s="68"/>
      <c r="R53" s="68"/>
      <c r="S53" s="68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4"/>
      <c r="BO53" s="134"/>
      <c r="BP53" s="134"/>
      <c r="BQ53" s="134"/>
      <c r="BR53" s="134"/>
      <c r="BS53" s="134"/>
      <c r="BT53" s="134"/>
      <c r="BU53" s="134"/>
      <c r="BV53" s="134"/>
      <c r="BW53" s="134"/>
      <c r="BX53" s="134"/>
      <c r="BY53" s="134"/>
      <c r="BZ53" s="134"/>
      <c r="CA53" s="134"/>
      <c r="CB53" s="134"/>
      <c r="CC53" s="134"/>
      <c r="CD53" s="134"/>
      <c r="CE53" s="134"/>
      <c r="CF53" s="134"/>
      <c r="CG53" s="134"/>
      <c r="CH53" s="134"/>
      <c r="CI53" s="134"/>
      <c r="CJ53" s="134"/>
      <c r="CK53" s="134"/>
    </row>
    <row r="54" spans="1:89" ht="15" customHeight="1" x14ac:dyDescent="0.35">
      <c r="A54" s="85" t="s">
        <v>594</v>
      </c>
      <c r="B54" s="68" t="s">
        <v>289</v>
      </c>
      <c r="C54" s="68" t="s">
        <v>93</v>
      </c>
      <c r="D54" s="141" t="s">
        <v>586</v>
      </c>
      <c r="E54" s="141" t="s">
        <v>292</v>
      </c>
      <c r="F54" s="141" t="s">
        <v>697</v>
      </c>
      <c r="G54" s="68">
        <v>1</v>
      </c>
      <c r="H54" s="68" t="s">
        <v>702</v>
      </c>
      <c r="I54" s="68" t="s">
        <v>575</v>
      </c>
      <c r="J54" s="157"/>
      <c r="K54" s="73"/>
      <c r="L54" s="101">
        <v>758.75</v>
      </c>
      <c r="M54" s="101"/>
      <c r="N54" s="101">
        <f t="shared" ref="N54" si="6">SUM(G54*L54)</f>
        <v>758.75</v>
      </c>
      <c r="O54" s="68"/>
      <c r="P54" s="68"/>
      <c r="Q54" s="68"/>
      <c r="R54" s="68"/>
      <c r="S54" s="68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  <c r="BY54" s="134"/>
      <c r="BZ54" s="134"/>
      <c r="CA54" s="134"/>
      <c r="CB54" s="134"/>
      <c r="CC54" s="134"/>
      <c r="CD54" s="134"/>
      <c r="CE54" s="134"/>
      <c r="CF54" s="134"/>
      <c r="CG54" s="134"/>
      <c r="CH54" s="134"/>
      <c r="CI54" s="134"/>
      <c r="CJ54" s="134"/>
      <c r="CK54" s="134"/>
    </row>
    <row r="55" spans="1:89" ht="15" customHeight="1" x14ac:dyDescent="0.35">
      <c r="A55" s="85" t="s">
        <v>291</v>
      </c>
      <c r="B55" s="68" t="s">
        <v>289</v>
      </c>
      <c r="C55" s="68" t="s">
        <v>93</v>
      </c>
      <c r="D55" s="141" t="s">
        <v>586</v>
      </c>
      <c r="E55" s="141" t="s">
        <v>416</v>
      </c>
      <c r="F55" s="141" t="s">
        <v>567</v>
      </c>
      <c r="G55" s="68">
        <v>1</v>
      </c>
      <c r="H55" s="68"/>
      <c r="I55" s="68" t="s">
        <v>575</v>
      </c>
      <c r="J55" s="157"/>
      <c r="K55" s="73"/>
      <c r="L55" s="73"/>
      <c r="M55" s="73">
        <f t="shared" si="4"/>
        <v>0</v>
      </c>
      <c r="N55" s="73">
        <f t="shared" si="5"/>
        <v>0</v>
      </c>
      <c r="O55" s="68"/>
      <c r="P55" s="68"/>
      <c r="Q55" s="68"/>
      <c r="R55" s="68"/>
      <c r="S55" s="68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4"/>
      <c r="BO55" s="134"/>
      <c r="BP55" s="134"/>
      <c r="BQ55" s="134"/>
      <c r="BR55" s="134"/>
      <c r="BS55" s="134"/>
      <c r="BT55" s="134"/>
      <c r="BU55" s="134"/>
      <c r="BV55" s="134"/>
      <c r="BW55" s="134"/>
      <c r="BX55" s="134"/>
      <c r="BY55" s="134"/>
      <c r="BZ55" s="134"/>
      <c r="CA55" s="134"/>
      <c r="CB55" s="134"/>
      <c r="CC55" s="134"/>
      <c r="CD55" s="134"/>
      <c r="CE55" s="134"/>
      <c r="CF55" s="134"/>
      <c r="CG55" s="134"/>
      <c r="CH55" s="134"/>
      <c r="CI55" s="134"/>
      <c r="CJ55" s="134"/>
      <c r="CK55" s="134"/>
    </row>
    <row r="56" spans="1:89" ht="15" customHeight="1" x14ac:dyDescent="0.35">
      <c r="A56" s="85" t="s">
        <v>293</v>
      </c>
      <c r="B56" s="68" t="s">
        <v>289</v>
      </c>
      <c r="C56" s="68" t="s">
        <v>93</v>
      </c>
      <c r="D56" s="150" t="s">
        <v>586</v>
      </c>
      <c r="E56" s="150" t="s">
        <v>295</v>
      </c>
      <c r="F56" s="150" t="s">
        <v>295</v>
      </c>
      <c r="G56" s="68">
        <v>1</v>
      </c>
      <c r="H56" s="68"/>
      <c r="I56" s="68"/>
      <c r="J56" s="157"/>
      <c r="K56" s="73"/>
      <c r="L56" s="73"/>
      <c r="M56" s="73">
        <f t="shared" si="4"/>
        <v>0</v>
      </c>
      <c r="N56" s="73">
        <f t="shared" si="5"/>
        <v>0</v>
      </c>
      <c r="O56" s="68"/>
      <c r="P56" s="68"/>
      <c r="Q56" s="68"/>
      <c r="R56" s="68"/>
      <c r="S56" s="68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  <c r="BY56" s="134"/>
      <c r="BZ56" s="134"/>
      <c r="CA56" s="134"/>
      <c r="CB56" s="134"/>
      <c r="CC56" s="134"/>
      <c r="CD56" s="134"/>
      <c r="CE56" s="134"/>
      <c r="CF56" s="134"/>
      <c r="CG56" s="134"/>
      <c r="CH56" s="134"/>
      <c r="CI56" s="134"/>
      <c r="CJ56" s="134"/>
      <c r="CK56" s="134"/>
    </row>
    <row r="57" spans="1:89" ht="15" customHeight="1" x14ac:dyDescent="0.35">
      <c r="A57" s="85" t="s">
        <v>294</v>
      </c>
      <c r="B57" s="68" t="s">
        <v>289</v>
      </c>
      <c r="C57" s="68" t="s">
        <v>93</v>
      </c>
      <c r="D57" s="141" t="s">
        <v>586</v>
      </c>
      <c r="E57" s="141" t="s">
        <v>9</v>
      </c>
      <c r="F57" s="141" t="s">
        <v>703</v>
      </c>
      <c r="G57" s="68">
        <v>10</v>
      </c>
      <c r="H57" s="68" t="s">
        <v>14</v>
      </c>
      <c r="I57" s="68" t="s">
        <v>575</v>
      </c>
      <c r="J57" s="157"/>
      <c r="K57" s="73"/>
      <c r="L57" s="101">
        <v>430</v>
      </c>
      <c r="M57" s="73">
        <f t="shared" si="4"/>
        <v>0</v>
      </c>
      <c r="N57" s="73">
        <f t="shared" si="5"/>
        <v>4300</v>
      </c>
      <c r="O57" s="68"/>
      <c r="P57" s="68"/>
      <c r="Q57" s="68"/>
      <c r="R57" s="68"/>
      <c r="S57" s="68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4"/>
      <c r="BO57" s="134"/>
      <c r="BP57" s="134"/>
      <c r="BQ57" s="134"/>
      <c r="BR57" s="134"/>
      <c r="BS57" s="134"/>
      <c r="BT57" s="134"/>
      <c r="BU57" s="134"/>
      <c r="BV57" s="134"/>
      <c r="BW57" s="134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4"/>
    </row>
    <row r="58" spans="1:89" ht="15" customHeight="1" x14ac:dyDescent="0.35">
      <c r="A58" s="85" t="s">
        <v>296</v>
      </c>
      <c r="B58" s="68" t="s">
        <v>289</v>
      </c>
      <c r="C58" s="68" t="s">
        <v>93</v>
      </c>
      <c r="D58" s="150" t="s">
        <v>586</v>
      </c>
      <c r="E58" s="150" t="s">
        <v>568</v>
      </c>
      <c r="F58" s="150" t="s">
        <v>569</v>
      </c>
      <c r="G58" s="68">
        <v>10</v>
      </c>
      <c r="H58" s="69" t="s">
        <v>423</v>
      </c>
      <c r="I58" s="69" t="s">
        <v>82</v>
      </c>
      <c r="J58" s="154" t="s">
        <v>422</v>
      </c>
      <c r="K58" s="73"/>
      <c r="L58" s="73">
        <v>269.99</v>
      </c>
      <c r="M58" s="73">
        <f t="shared" si="4"/>
        <v>0</v>
      </c>
      <c r="N58" s="73">
        <f t="shared" si="5"/>
        <v>2699.9</v>
      </c>
      <c r="O58" s="68"/>
      <c r="P58" s="68"/>
      <c r="Q58" s="68"/>
      <c r="R58" s="68"/>
      <c r="S58" s="68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4"/>
      <c r="BO58" s="134"/>
      <c r="BP58" s="134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4"/>
      <c r="CC58" s="134"/>
      <c r="CD58" s="134"/>
      <c r="CE58" s="134"/>
      <c r="CF58" s="134"/>
      <c r="CG58" s="134"/>
      <c r="CH58" s="134"/>
      <c r="CI58" s="134"/>
      <c r="CJ58" s="134"/>
      <c r="CK58" s="134"/>
    </row>
    <row r="59" spans="1:89" ht="15" customHeight="1" x14ac:dyDescent="0.35">
      <c r="A59" s="85" t="s">
        <v>297</v>
      </c>
      <c r="B59" s="68" t="s">
        <v>289</v>
      </c>
      <c r="C59" s="68" t="s">
        <v>93</v>
      </c>
      <c r="D59" s="150" t="s">
        <v>586</v>
      </c>
      <c r="E59" s="150" t="s">
        <v>570</v>
      </c>
      <c r="F59" s="150" t="s">
        <v>299</v>
      </c>
      <c r="G59" s="68">
        <v>1</v>
      </c>
      <c r="H59" s="69" t="s">
        <v>421</v>
      </c>
      <c r="I59" s="69" t="s">
        <v>158</v>
      </c>
      <c r="J59" s="157"/>
      <c r="K59" s="73">
        <v>629.41</v>
      </c>
      <c r="L59" s="73">
        <v>749</v>
      </c>
      <c r="M59" s="73">
        <f t="shared" si="4"/>
        <v>629.41</v>
      </c>
      <c r="N59" s="73">
        <f t="shared" si="5"/>
        <v>749</v>
      </c>
      <c r="O59" s="68"/>
      <c r="P59" s="68"/>
      <c r="Q59" s="68"/>
      <c r="R59" s="68"/>
      <c r="S59" s="68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4"/>
      <c r="BO59" s="134"/>
      <c r="BP59" s="134"/>
      <c r="BQ59" s="134"/>
      <c r="BR59" s="134"/>
      <c r="BS59" s="134"/>
      <c r="BT59" s="134"/>
      <c r="BU59" s="134"/>
      <c r="BV59" s="134"/>
      <c r="BW59" s="134"/>
      <c r="BX59" s="134"/>
      <c r="BY59" s="134"/>
      <c r="BZ59" s="134"/>
      <c r="CA59" s="134"/>
      <c r="CB59" s="134"/>
      <c r="CC59" s="134"/>
      <c r="CD59" s="134"/>
      <c r="CE59" s="134"/>
      <c r="CF59" s="134"/>
      <c r="CG59" s="134"/>
      <c r="CH59" s="134"/>
      <c r="CI59" s="134"/>
      <c r="CJ59" s="134"/>
      <c r="CK59" s="134"/>
    </row>
    <row r="60" spans="1:89" ht="15" customHeight="1" x14ac:dyDescent="0.35">
      <c r="A60" s="85" t="s">
        <v>298</v>
      </c>
      <c r="B60" s="68" t="s">
        <v>289</v>
      </c>
      <c r="C60" s="68" t="s">
        <v>93</v>
      </c>
      <c r="D60" s="150" t="s">
        <v>586</v>
      </c>
      <c r="E60" s="150" t="s">
        <v>301</v>
      </c>
      <c r="F60" s="150" t="s">
        <v>420</v>
      </c>
      <c r="G60" s="68">
        <v>1</v>
      </c>
      <c r="H60" s="69" t="s">
        <v>419</v>
      </c>
      <c r="I60" s="69" t="s">
        <v>158</v>
      </c>
      <c r="J60" s="154" t="s">
        <v>418</v>
      </c>
      <c r="K60" s="73">
        <v>1189.08</v>
      </c>
      <c r="L60" s="73">
        <v>1415.01</v>
      </c>
      <c r="M60" s="73">
        <f t="shared" si="4"/>
        <v>1189.08</v>
      </c>
      <c r="N60" s="73">
        <f t="shared" si="5"/>
        <v>1415.01</v>
      </c>
      <c r="O60" s="68"/>
      <c r="P60" s="68"/>
      <c r="Q60" s="68"/>
      <c r="R60" s="68"/>
      <c r="S60" s="68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4"/>
      <c r="BM60" s="134"/>
      <c r="BN60" s="134"/>
      <c r="BO60" s="134"/>
      <c r="BP60" s="134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4"/>
      <c r="CC60" s="134"/>
      <c r="CD60" s="134"/>
      <c r="CE60" s="134"/>
      <c r="CF60" s="134"/>
      <c r="CG60" s="134"/>
      <c r="CH60" s="134"/>
      <c r="CI60" s="134"/>
      <c r="CJ60" s="134"/>
      <c r="CK60" s="134"/>
    </row>
    <row r="61" spans="1:89" ht="15" customHeight="1" x14ac:dyDescent="0.35">
      <c r="A61" s="85" t="s">
        <v>300</v>
      </c>
      <c r="B61" s="68" t="s">
        <v>289</v>
      </c>
      <c r="C61" s="68" t="s">
        <v>93</v>
      </c>
      <c r="D61" s="141" t="s">
        <v>586</v>
      </c>
      <c r="E61" s="141" t="s">
        <v>43</v>
      </c>
      <c r="F61" s="141" t="s">
        <v>304</v>
      </c>
      <c r="G61" s="68">
        <v>1</v>
      </c>
      <c r="H61" s="68"/>
      <c r="I61" s="68"/>
      <c r="J61" s="157"/>
      <c r="K61" s="73"/>
      <c r="L61" s="73"/>
      <c r="M61" s="73">
        <f t="shared" si="4"/>
        <v>0</v>
      </c>
      <c r="N61" s="73">
        <f t="shared" si="5"/>
        <v>0</v>
      </c>
      <c r="O61" s="68"/>
      <c r="P61" s="68"/>
      <c r="Q61" s="68"/>
      <c r="R61" s="68"/>
      <c r="S61" s="68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134"/>
      <c r="AV61" s="134"/>
      <c r="AW61" s="134"/>
      <c r="AX61" s="134"/>
      <c r="AY61" s="134"/>
      <c r="AZ61" s="134"/>
      <c r="BA61" s="134"/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  <c r="BM61" s="134"/>
      <c r="BN61" s="134"/>
      <c r="BO61" s="134"/>
      <c r="BP61" s="134"/>
      <c r="BQ61" s="134"/>
      <c r="BR61" s="134"/>
      <c r="BS61" s="134"/>
      <c r="BT61" s="134"/>
      <c r="BU61" s="134"/>
      <c r="BV61" s="134"/>
      <c r="BW61" s="134"/>
      <c r="BX61" s="134"/>
      <c r="BY61" s="134"/>
      <c r="BZ61" s="134"/>
      <c r="CA61" s="134"/>
      <c r="CB61" s="134"/>
      <c r="CC61" s="134"/>
      <c r="CD61" s="134"/>
      <c r="CE61" s="134"/>
      <c r="CF61" s="134"/>
      <c r="CG61" s="134"/>
      <c r="CH61" s="134"/>
      <c r="CI61" s="134"/>
      <c r="CJ61" s="134"/>
      <c r="CK61" s="134"/>
    </row>
    <row r="62" spans="1:89" ht="15" customHeight="1" x14ac:dyDescent="0.35">
      <c r="A62" s="85" t="s">
        <v>302</v>
      </c>
      <c r="B62" s="68" t="s">
        <v>289</v>
      </c>
      <c r="C62" s="68" t="s">
        <v>93</v>
      </c>
      <c r="D62" s="150" t="s">
        <v>586</v>
      </c>
      <c r="E62" s="150" t="s">
        <v>564</v>
      </c>
      <c r="F62" s="150" t="s">
        <v>430</v>
      </c>
      <c r="G62" s="68">
        <v>2</v>
      </c>
      <c r="H62" s="68"/>
      <c r="I62" s="68"/>
      <c r="J62" s="157"/>
      <c r="K62" s="73"/>
      <c r="L62" s="73"/>
      <c r="M62" s="73">
        <f t="shared" si="4"/>
        <v>0</v>
      </c>
      <c r="N62" s="73">
        <f t="shared" si="5"/>
        <v>0</v>
      </c>
      <c r="O62" s="68"/>
      <c r="P62" s="68"/>
      <c r="Q62" s="68"/>
      <c r="R62" s="68"/>
      <c r="S62" s="68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  <c r="AO62" s="134"/>
      <c r="AP62" s="134"/>
      <c r="AQ62" s="134"/>
      <c r="AR62" s="134"/>
      <c r="AS62" s="134"/>
      <c r="AT62" s="134"/>
      <c r="AU62" s="134"/>
      <c r="AV62" s="134"/>
      <c r="AW62" s="134"/>
      <c r="AX62" s="134"/>
      <c r="AY62" s="134"/>
      <c r="AZ62" s="134"/>
      <c r="BA62" s="134"/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4"/>
      <c r="BO62" s="134"/>
      <c r="BP62" s="134"/>
      <c r="BQ62" s="134"/>
      <c r="BR62" s="134"/>
      <c r="BS62" s="134"/>
      <c r="BT62" s="134"/>
      <c r="BU62" s="134"/>
      <c r="BV62" s="134"/>
      <c r="BW62" s="134"/>
      <c r="BX62" s="134"/>
      <c r="BY62" s="134"/>
      <c r="BZ62" s="134"/>
      <c r="CA62" s="134"/>
      <c r="CB62" s="134"/>
      <c r="CC62" s="134"/>
      <c r="CD62" s="134"/>
      <c r="CE62" s="134"/>
      <c r="CF62" s="134"/>
      <c r="CG62" s="134"/>
      <c r="CH62" s="134"/>
      <c r="CI62" s="134"/>
      <c r="CJ62" s="134"/>
      <c r="CK62" s="134"/>
    </row>
    <row r="63" spans="1:89" ht="15" customHeight="1" x14ac:dyDescent="0.35">
      <c r="A63" s="85" t="s">
        <v>303</v>
      </c>
      <c r="B63" s="68" t="s">
        <v>289</v>
      </c>
      <c r="C63" s="68" t="s">
        <v>93</v>
      </c>
      <c r="D63" s="141" t="s">
        <v>170</v>
      </c>
      <c r="E63" s="141" t="s">
        <v>33</v>
      </c>
      <c r="F63" s="141" t="s">
        <v>705</v>
      </c>
      <c r="G63" s="68">
        <v>1</v>
      </c>
      <c r="H63" s="68"/>
      <c r="I63" s="68"/>
      <c r="J63" s="157"/>
      <c r="K63" s="73"/>
      <c r="L63" s="73"/>
      <c r="M63" s="73">
        <f t="shared" si="4"/>
        <v>0</v>
      </c>
      <c r="N63" s="73">
        <f t="shared" si="5"/>
        <v>0</v>
      </c>
      <c r="O63" s="68"/>
      <c r="P63" s="68"/>
      <c r="Q63" s="68"/>
      <c r="R63" s="68"/>
      <c r="S63" s="68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  <c r="AV63" s="134"/>
      <c r="AW63" s="134"/>
      <c r="AX63" s="134"/>
      <c r="AY63" s="134"/>
      <c r="AZ63" s="134"/>
      <c r="BA63" s="134"/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134"/>
      <c r="BN63" s="134"/>
      <c r="BO63" s="134"/>
      <c r="BP63" s="134"/>
      <c r="BQ63" s="134"/>
      <c r="BR63" s="134"/>
      <c r="BS63" s="134"/>
      <c r="BT63" s="134"/>
      <c r="BU63" s="134"/>
      <c r="BV63" s="134"/>
      <c r="BW63" s="134"/>
      <c r="BX63" s="134"/>
      <c r="BY63" s="134"/>
      <c r="BZ63" s="134"/>
      <c r="CA63" s="134"/>
      <c r="CB63" s="134"/>
      <c r="CC63" s="134"/>
      <c r="CD63" s="134"/>
      <c r="CE63" s="134"/>
      <c r="CF63" s="134"/>
      <c r="CG63" s="134"/>
      <c r="CH63" s="134"/>
      <c r="CI63" s="134"/>
      <c r="CJ63" s="134"/>
      <c r="CK63" s="134"/>
    </row>
    <row r="64" spans="1:89" ht="15" customHeight="1" x14ac:dyDescent="0.35">
      <c r="A64" s="85" t="s">
        <v>305</v>
      </c>
      <c r="B64" s="68" t="s">
        <v>289</v>
      </c>
      <c r="C64" s="68" t="s">
        <v>93</v>
      </c>
      <c r="D64" s="141" t="s">
        <v>586</v>
      </c>
      <c r="E64" s="141" t="s">
        <v>571</v>
      </c>
      <c r="F64" s="141" t="s">
        <v>307</v>
      </c>
      <c r="G64" s="68">
        <v>1</v>
      </c>
      <c r="H64" s="68" t="s">
        <v>709</v>
      </c>
      <c r="I64" s="68" t="s">
        <v>708</v>
      </c>
      <c r="J64" s="157"/>
      <c r="K64" s="73"/>
      <c r="L64" s="73">
        <v>4000</v>
      </c>
      <c r="M64" s="73">
        <f t="shared" si="4"/>
        <v>0</v>
      </c>
      <c r="N64" s="73">
        <f t="shared" si="5"/>
        <v>4000</v>
      </c>
      <c r="O64" s="68"/>
      <c r="P64" s="68"/>
      <c r="Q64" s="68"/>
      <c r="R64" s="68"/>
      <c r="S64" s="68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34"/>
      <c r="AQ64" s="134"/>
      <c r="AR64" s="134"/>
      <c r="AS64" s="134"/>
      <c r="AT64" s="134"/>
      <c r="AU64" s="134"/>
      <c r="AV64" s="134"/>
      <c r="AW64" s="134"/>
      <c r="AX64" s="134"/>
      <c r="AY64" s="134"/>
      <c r="AZ64" s="134"/>
      <c r="BA64" s="134"/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4"/>
      <c r="BM64" s="134"/>
      <c r="BN64" s="134"/>
      <c r="BO64" s="134"/>
      <c r="BP64" s="134"/>
      <c r="BQ64" s="134"/>
      <c r="BR64" s="134"/>
      <c r="BS64" s="134"/>
      <c r="BT64" s="134"/>
      <c r="BU64" s="134"/>
      <c r="BV64" s="134"/>
      <c r="BW64" s="134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4"/>
    </row>
    <row r="65" spans="1:89" ht="15" customHeight="1" x14ac:dyDescent="0.35">
      <c r="A65" s="85" t="s">
        <v>306</v>
      </c>
      <c r="B65" s="68" t="s">
        <v>289</v>
      </c>
      <c r="C65" s="68" t="s">
        <v>93</v>
      </c>
      <c r="D65" s="150" t="s">
        <v>586</v>
      </c>
      <c r="E65" s="150"/>
      <c r="F65" s="150" t="s">
        <v>309</v>
      </c>
      <c r="G65" s="68">
        <v>1</v>
      </c>
      <c r="H65" s="69" t="s">
        <v>381</v>
      </c>
      <c r="I65" s="69" t="s">
        <v>381</v>
      </c>
      <c r="J65" s="158" t="s">
        <v>382</v>
      </c>
      <c r="K65" s="73">
        <v>6966.39</v>
      </c>
      <c r="L65" s="73">
        <v>8290</v>
      </c>
      <c r="M65" s="73">
        <f t="shared" si="4"/>
        <v>6966.39</v>
      </c>
      <c r="N65" s="73">
        <f t="shared" si="5"/>
        <v>8290</v>
      </c>
      <c r="O65" s="68"/>
      <c r="P65" s="68"/>
      <c r="Q65" s="68"/>
      <c r="R65" s="68"/>
      <c r="S65" s="68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4"/>
      <c r="BO65" s="134"/>
      <c r="BP65" s="134"/>
      <c r="BQ65" s="134"/>
      <c r="BR65" s="134"/>
      <c r="BS65" s="134"/>
      <c r="BT65" s="134"/>
      <c r="BU65" s="134"/>
      <c r="BV65" s="134"/>
      <c r="BW65" s="134"/>
      <c r="BX65" s="134"/>
      <c r="BY65" s="134"/>
      <c r="BZ65" s="134"/>
      <c r="CA65" s="134"/>
      <c r="CB65" s="134"/>
      <c r="CC65" s="134"/>
      <c r="CD65" s="134"/>
      <c r="CE65" s="134"/>
      <c r="CF65" s="134"/>
      <c r="CG65" s="134"/>
      <c r="CH65" s="134"/>
      <c r="CI65" s="134"/>
      <c r="CJ65" s="134"/>
      <c r="CK65" s="134"/>
    </row>
    <row r="66" spans="1:89" ht="15" customHeight="1" x14ac:dyDescent="0.35">
      <c r="A66" s="85" t="s">
        <v>308</v>
      </c>
      <c r="B66" s="68" t="s">
        <v>289</v>
      </c>
      <c r="C66" s="68" t="s">
        <v>93</v>
      </c>
      <c r="D66" s="69" t="s">
        <v>454</v>
      </c>
      <c r="E66" s="69"/>
      <c r="F66" s="69" t="s">
        <v>486</v>
      </c>
      <c r="G66" s="68">
        <v>1</v>
      </c>
      <c r="H66" s="69" t="s">
        <v>487</v>
      </c>
      <c r="I66" s="68"/>
      <c r="J66" s="157"/>
      <c r="K66" s="73"/>
      <c r="L66" s="73">
        <v>19000</v>
      </c>
      <c r="M66" s="73">
        <f t="shared" si="4"/>
        <v>0</v>
      </c>
      <c r="N66" s="73">
        <f t="shared" si="5"/>
        <v>19000</v>
      </c>
      <c r="O66" s="68"/>
      <c r="P66" s="68"/>
      <c r="Q66" s="68"/>
      <c r="R66" s="68"/>
      <c r="S66" s="68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4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4"/>
    </row>
    <row r="67" spans="1:89" s="65" customFormat="1" ht="30" customHeight="1" thickBot="1" x14ac:dyDescent="0.5">
      <c r="A67" s="85"/>
      <c r="B67" s="68" t="s">
        <v>289</v>
      </c>
      <c r="C67" s="68"/>
      <c r="D67" s="68"/>
      <c r="E67" s="68"/>
      <c r="F67" s="68"/>
      <c r="G67" s="68"/>
      <c r="H67" s="68"/>
      <c r="I67" s="68"/>
      <c r="J67" s="157"/>
      <c r="K67" s="73"/>
      <c r="L67" s="140" t="s">
        <v>701</v>
      </c>
      <c r="M67" s="95">
        <f>N67/1.19</f>
        <v>35875.176470588238</v>
      </c>
      <c r="N67" s="86">
        <f>SUM(N52:N66)</f>
        <v>42691.46</v>
      </c>
      <c r="O67" s="68"/>
      <c r="P67" s="68"/>
      <c r="Q67" s="68"/>
      <c r="R67" s="68"/>
      <c r="S67" s="68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  <c r="CC67" s="137"/>
      <c r="CD67" s="137"/>
      <c r="CE67" s="137"/>
      <c r="CF67" s="137"/>
      <c r="CG67" s="137"/>
      <c r="CH67" s="137"/>
      <c r="CI67" s="137"/>
      <c r="CJ67" s="137"/>
      <c r="CK67" s="137"/>
    </row>
    <row r="68" spans="1:89" ht="15" customHeight="1" x14ac:dyDescent="0.35">
      <c r="A68" s="98" t="str">
        <f t="shared" ref="A68:A87" si="7">"3." &amp; ROW(A1)</f>
        <v>3.1</v>
      </c>
      <c r="B68" s="68" t="s">
        <v>311</v>
      </c>
      <c r="C68" s="68" t="s">
        <v>93</v>
      </c>
      <c r="D68" s="141" t="s">
        <v>586</v>
      </c>
      <c r="E68" s="141" t="s">
        <v>43</v>
      </c>
      <c r="F68" s="141" t="s">
        <v>512</v>
      </c>
      <c r="G68" s="68">
        <v>1</v>
      </c>
      <c r="H68" s="69" t="s">
        <v>122</v>
      </c>
      <c r="I68" s="69" t="s">
        <v>122</v>
      </c>
      <c r="J68" s="159" t="s">
        <v>513</v>
      </c>
      <c r="K68" s="89">
        <v>4522.28</v>
      </c>
      <c r="L68" s="89">
        <v>5381.51</v>
      </c>
      <c r="M68" s="73">
        <f>G68*K68</f>
        <v>4522.28</v>
      </c>
      <c r="N68" s="73">
        <f t="shared" ref="N68:N80" si="8">G68*L68</f>
        <v>5381.51</v>
      </c>
      <c r="O68" s="68"/>
      <c r="P68" s="68"/>
      <c r="Q68" s="68"/>
      <c r="R68" s="68"/>
      <c r="S68" s="68"/>
    </row>
    <row r="69" spans="1:89" ht="15" customHeight="1" x14ac:dyDescent="0.35">
      <c r="A69" s="98" t="str">
        <f t="shared" si="7"/>
        <v>3.2</v>
      </c>
      <c r="B69" s="68" t="s">
        <v>311</v>
      </c>
      <c r="C69" s="68" t="s">
        <v>93</v>
      </c>
      <c r="D69" s="141" t="s">
        <v>586</v>
      </c>
      <c r="E69" s="141" t="s">
        <v>574</v>
      </c>
      <c r="F69" s="141" t="s">
        <v>509</v>
      </c>
      <c r="G69" s="68">
        <v>1</v>
      </c>
      <c r="H69" s="69" t="s">
        <v>358</v>
      </c>
      <c r="I69" s="69" t="s">
        <v>510</v>
      </c>
      <c r="J69" s="159" t="s">
        <v>511</v>
      </c>
      <c r="K69" s="89">
        <v>1370</v>
      </c>
      <c r="L69" s="89">
        <v>1630.3</v>
      </c>
      <c r="M69" s="73">
        <f>G69*K69</f>
        <v>1370</v>
      </c>
      <c r="N69" s="73">
        <f t="shared" si="8"/>
        <v>1630.3</v>
      </c>
      <c r="O69" s="68"/>
      <c r="P69" s="68"/>
      <c r="Q69" s="68"/>
      <c r="R69" s="68"/>
      <c r="S69" s="68"/>
    </row>
    <row r="70" spans="1:89" ht="15" customHeight="1" x14ac:dyDescent="0.35">
      <c r="A70" s="98" t="str">
        <f t="shared" si="7"/>
        <v>3.3</v>
      </c>
      <c r="B70" s="68" t="s">
        <v>311</v>
      </c>
      <c r="C70" s="68" t="s">
        <v>93</v>
      </c>
      <c r="D70" s="141" t="s">
        <v>586</v>
      </c>
      <c r="E70" s="141" t="s">
        <v>580</v>
      </c>
      <c r="F70" s="141" t="s">
        <v>581</v>
      </c>
      <c r="G70" s="68">
        <v>1</v>
      </c>
      <c r="H70" s="69" t="s">
        <v>502</v>
      </c>
      <c r="I70" s="69" t="s">
        <v>503</v>
      </c>
      <c r="J70" s="159" t="s">
        <v>504</v>
      </c>
      <c r="K70" s="73"/>
      <c r="L70" s="89">
        <v>489</v>
      </c>
      <c r="M70" s="73"/>
      <c r="N70" s="73">
        <f t="shared" si="8"/>
        <v>489</v>
      </c>
      <c r="O70" s="68"/>
      <c r="P70" s="68"/>
      <c r="Q70" s="68"/>
      <c r="R70" s="68"/>
      <c r="S70" s="68"/>
    </row>
    <row r="71" spans="1:89" ht="15" customHeight="1" x14ac:dyDescent="0.35">
      <c r="A71" s="98" t="str">
        <f t="shared" si="7"/>
        <v>3.4</v>
      </c>
      <c r="B71" s="68" t="s">
        <v>311</v>
      </c>
      <c r="C71" s="68" t="s">
        <v>93</v>
      </c>
      <c r="D71" s="150" t="s">
        <v>586</v>
      </c>
      <c r="E71" s="150"/>
      <c r="F71" s="150" t="s">
        <v>508</v>
      </c>
      <c r="G71" s="68">
        <v>1</v>
      </c>
      <c r="H71" s="69" t="s">
        <v>507</v>
      </c>
      <c r="I71" s="69" t="s">
        <v>506</v>
      </c>
      <c r="J71" s="159" t="s">
        <v>505</v>
      </c>
      <c r="K71" s="73"/>
      <c r="L71" s="89">
        <v>52.99</v>
      </c>
      <c r="M71" s="73"/>
      <c r="N71" s="73">
        <f t="shared" si="8"/>
        <v>52.99</v>
      </c>
      <c r="O71" s="68"/>
      <c r="P71" s="68"/>
      <c r="Q71" s="68"/>
      <c r="R71" s="68"/>
      <c r="S71" s="68"/>
    </row>
    <row r="72" spans="1:89" ht="15" customHeight="1" x14ac:dyDescent="0.35">
      <c r="A72" s="98" t="str">
        <f t="shared" si="7"/>
        <v>3.5</v>
      </c>
      <c r="B72" s="68" t="s">
        <v>311</v>
      </c>
      <c r="C72" s="68" t="s">
        <v>93</v>
      </c>
      <c r="D72" s="150" t="s">
        <v>586</v>
      </c>
      <c r="E72" s="150" t="s">
        <v>582</v>
      </c>
      <c r="F72" s="150" t="s">
        <v>583</v>
      </c>
      <c r="G72" s="68">
        <v>1</v>
      </c>
      <c r="H72" s="69" t="s">
        <v>514</v>
      </c>
      <c r="I72" s="69" t="s">
        <v>515</v>
      </c>
      <c r="J72" s="159" t="s">
        <v>516</v>
      </c>
      <c r="K72" s="73"/>
      <c r="L72" s="89">
        <v>1699</v>
      </c>
      <c r="M72" s="73"/>
      <c r="N72" s="73">
        <f t="shared" si="8"/>
        <v>1699</v>
      </c>
      <c r="O72" s="68"/>
      <c r="P72" s="68"/>
      <c r="Q72" s="68"/>
      <c r="R72" s="68"/>
      <c r="S72" s="68"/>
    </row>
    <row r="73" spans="1:89" ht="15" customHeight="1" x14ac:dyDescent="0.35">
      <c r="A73" s="98" t="str">
        <f t="shared" si="7"/>
        <v>3.6</v>
      </c>
      <c r="B73" s="68" t="s">
        <v>311</v>
      </c>
      <c r="C73" s="68" t="s">
        <v>93</v>
      </c>
      <c r="D73" s="141" t="s">
        <v>586</v>
      </c>
      <c r="E73" s="141" t="s">
        <v>9</v>
      </c>
      <c r="F73" s="141" t="s">
        <v>573</v>
      </c>
      <c r="G73" s="68">
        <v>1</v>
      </c>
      <c r="H73" s="69" t="s">
        <v>14</v>
      </c>
      <c r="I73" s="69" t="s">
        <v>517</v>
      </c>
      <c r="J73" s="74"/>
      <c r="K73" s="73"/>
      <c r="L73" s="94">
        <v>400</v>
      </c>
      <c r="M73" s="73"/>
      <c r="N73" s="73">
        <f t="shared" si="8"/>
        <v>400</v>
      </c>
      <c r="O73" s="68"/>
      <c r="P73" s="68"/>
      <c r="Q73" s="68"/>
      <c r="R73" s="68"/>
      <c r="S73" s="68"/>
    </row>
    <row r="74" spans="1:89" ht="15" customHeight="1" x14ac:dyDescent="0.35">
      <c r="A74" s="98" t="str">
        <f t="shared" si="7"/>
        <v>3.7</v>
      </c>
      <c r="B74" s="68" t="s">
        <v>311</v>
      </c>
      <c r="C74" s="68" t="s">
        <v>93</v>
      </c>
      <c r="D74" s="141" t="s">
        <v>586</v>
      </c>
      <c r="E74" s="141" t="s">
        <v>292</v>
      </c>
      <c r="F74" s="141" t="s">
        <v>292</v>
      </c>
      <c r="G74" s="68">
        <v>1</v>
      </c>
      <c r="H74" s="69" t="s">
        <v>461</v>
      </c>
      <c r="I74" s="69" t="s">
        <v>462</v>
      </c>
      <c r="J74" s="74"/>
      <c r="K74" s="73"/>
      <c r="L74" s="94">
        <v>820</v>
      </c>
      <c r="M74" s="73"/>
      <c r="N74" s="73">
        <f t="shared" si="8"/>
        <v>820</v>
      </c>
      <c r="O74" s="68"/>
      <c r="P74" s="68"/>
      <c r="Q74" s="68"/>
      <c r="R74" s="68"/>
      <c r="S74" s="68"/>
    </row>
    <row r="75" spans="1:89" ht="15" customHeight="1" x14ac:dyDescent="0.35">
      <c r="A75" s="98" t="str">
        <f t="shared" si="7"/>
        <v>3.8</v>
      </c>
      <c r="B75" s="68" t="s">
        <v>311</v>
      </c>
      <c r="C75" s="68" t="s">
        <v>93</v>
      </c>
      <c r="D75" s="150" t="s">
        <v>170</v>
      </c>
      <c r="E75" s="150"/>
      <c r="F75" s="150" t="s">
        <v>312</v>
      </c>
      <c r="G75" s="68">
        <v>1</v>
      </c>
      <c r="H75" s="69" t="s">
        <v>460</v>
      </c>
      <c r="I75" s="68"/>
      <c r="J75" s="74"/>
      <c r="K75" s="73"/>
      <c r="L75" s="73">
        <v>50</v>
      </c>
      <c r="M75" s="73"/>
      <c r="N75" s="73">
        <f t="shared" si="8"/>
        <v>50</v>
      </c>
      <c r="O75" s="68"/>
      <c r="P75" s="68"/>
      <c r="Q75" s="68"/>
      <c r="R75" s="68"/>
      <c r="S75" s="68"/>
    </row>
    <row r="76" spans="1:89" ht="15" customHeight="1" x14ac:dyDescent="0.35">
      <c r="A76" s="98" t="str">
        <f t="shared" si="7"/>
        <v>3.9</v>
      </c>
      <c r="B76" s="68" t="s">
        <v>311</v>
      </c>
      <c r="C76" s="68" t="s">
        <v>93</v>
      </c>
      <c r="D76" s="150" t="s">
        <v>586</v>
      </c>
      <c r="E76" s="150" t="s">
        <v>579</v>
      </c>
      <c r="F76" s="150" t="s">
        <v>501</v>
      </c>
      <c r="G76" s="68">
        <v>1</v>
      </c>
      <c r="H76" s="69" t="s">
        <v>164</v>
      </c>
      <c r="I76" s="68"/>
      <c r="J76" s="74"/>
      <c r="K76" s="73"/>
      <c r="L76" s="73">
        <v>80</v>
      </c>
      <c r="M76" s="73"/>
      <c r="N76" s="73">
        <f t="shared" si="8"/>
        <v>80</v>
      </c>
      <c r="O76" s="68"/>
      <c r="P76" s="68"/>
      <c r="Q76" s="68"/>
      <c r="R76" s="68"/>
      <c r="S76" s="68"/>
    </row>
    <row r="77" spans="1:89" ht="15" customHeight="1" x14ac:dyDescent="0.35">
      <c r="A77" s="98" t="str">
        <f t="shared" si="7"/>
        <v>3.10</v>
      </c>
      <c r="B77" s="68" t="s">
        <v>311</v>
      </c>
      <c r="C77" s="68" t="s">
        <v>93</v>
      </c>
      <c r="D77" s="68" t="s">
        <v>586</v>
      </c>
      <c r="E77" s="68"/>
      <c r="F77" s="68" t="s">
        <v>535</v>
      </c>
      <c r="G77" s="68">
        <v>4</v>
      </c>
      <c r="H77" s="68" t="s">
        <v>632</v>
      </c>
      <c r="I77" s="68"/>
      <c r="J77" s="159"/>
      <c r="K77" s="73"/>
      <c r="L77" s="73">
        <v>200</v>
      </c>
      <c r="M77" s="73"/>
      <c r="N77" s="73">
        <f t="shared" si="8"/>
        <v>800</v>
      </c>
      <c r="O77" s="68"/>
      <c r="P77" s="68"/>
      <c r="Q77" s="68"/>
      <c r="R77" s="68"/>
      <c r="S77" s="68"/>
    </row>
    <row r="78" spans="1:89" ht="15" customHeight="1" x14ac:dyDescent="0.35">
      <c r="A78" s="98" t="str">
        <f t="shared" si="7"/>
        <v>3.11</v>
      </c>
      <c r="B78" s="68" t="s">
        <v>311</v>
      </c>
      <c r="C78" s="68" t="s">
        <v>313</v>
      </c>
      <c r="D78" s="68" t="s">
        <v>586</v>
      </c>
      <c r="E78" s="68"/>
      <c r="F78" s="68" t="s">
        <v>536</v>
      </c>
      <c r="G78" s="68">
        <v>1</v>
      </c>
      <c r="H78" s="68" t="s">
        <v>632</v>
      </c>
      <c r="I78" s="68"/>
      <c r="J78" s="159"/>
      <c r="K78" s="73"/>
      <c r="L78" s="73">
        <v>185.64</v>
      </c>
      <c r="M78" s="73"/>
      <c r="N78" s="73">
        <f t="shared" si="8"/>
        <v>185.64</v>
      </c>
      <c r="O78" s="68"/>
      <c r="P78" s="68"/>
      <c r="Q78" s="68"/>
      <c r="R78" s="68"/>
      <c r="S78" s="68"/>
    </row>
    <row r="79" spans="1:89" ht="15" customHeight="1" x14ac:dyDescent="0.35">
      <c r="A79" s="98" t="str">
        <f t="shared" si="7"/>
        <v>3.12</v>
      </c>
      <c r="B79" s="68" t="s">
        <v>311</v>
      </c>
      <c r="C79" s="68" t="s">
        <v>93</v>
      </c>
      <c r="D79" s="68" t="s">
        <v>586</v>
      </c>
      <c r="E79" s="68"/>
      <c r="F79" s="68" t="s">
        <v>537</v>
      </c>
      <c r="G79" s="68">
        <v>1</v>
      </c>
      <c r="H79" s="68" t="s">
        <v>632</v>
      </c>
      <c r="I79" s="68"/>
      <c r="J79" s="159"/>
      <c r="K79" s="73"/>
      <c r="L79" s="73">
        <v>121.54</v>
      </c>
      <c r="M79" s="73"/>
      <c r="N79" s="73">
        <f t="shared" si="8"/>
        <v>121.54</v>
      </c>
      <c r="O79" s="68"/>
      <c r="P79" s="68"/>
      <c r="Q79" s="68"/>
      <c r="R79" s="68"/>
      <c r="S79" s="68"/>
    </row>
    <row r="80" spans="1:89" ht="15" customHeight="1" x14ac:dyDescent="0.35">
      <c r="A80" s="98" t="str">
        <f t="shared" si="7"/>
        <v>3.13</v>
      </c>
      <c r="B80" s="68" t="s">
        <v>311</v>
      </c>
      <c r="C80" s="68" t="s">
        <v>93</v>
      </c>
      <c r="D80" s="68" t="s">
        <v>586</v>
      </c>
      <c r="E80" s="68"/>
      <c r="F80" s="68" t="s">
        <v>538</v>
      </c>
      <c r="G80" s="68">
        <v>1</v>
      </c>
      <c r="H80" s="68" t="s">
        <v>632</v>
      </c>
      <c r="I80" s="68"/>
      <c r="J80" s="159"/>
      <c r="K80" s="73"/>
      <c r="L80" s="73">
        <v>150</v>
      </c>
      <c r="M80" s="73"/>
      <c r="N80" s="73">
        <f t="shared" si="8"/>
        <v>150</v>
      </c>
      <c r="O80" s="68"/>
      <c r="P80" s="68"/>
      <c r="Q80" s="68"/>
      <c r="R80" s="68"/>
      <c r="S80" s="68"/>
    </row>
    <row r="81" spans="1:19" ht="15" customHeight="1" x14ac:dyDescent="0.35">
      <c r="A81" s="98" t="str">
        <f t="shared" si="7"/>
        <v>3.14</v>
      </c>
      <c r="B81" s="68" t="s">
        <v>311</v>
      </c>
      <c r="C81" s="68" t="s">
        <v>93</v>
      </c>
      <c r="D81" s="68" t="s">
        <v>586</v>
      </c>
      <c r="E81" s="68"/>
      <c r="F81" s="68" t="s">
        <v>539</v>
      </c>
      <c r="G81" s="68" t="s">
        <v>473</v>
      </c>
      <c r="H81" s="68" t="s">
        <v>632</v>
      </c>
      <c r="I81" s="68"/>
      <c r="J81" s="74"/>
      <c r="K81" s="73"/>
      <c r="L81" s="73">
        <v>1.5</v>
      </c>
      <c r="M81" s="73"/>
      <c r="N81" s="73">
        <v>350</v>
      </c>
      <c r="O81" s="68"/>
      <c r="P81" s="68"/>
      <c r="Q81" s="68"/>
      <c r="R81" s="68"/>
      <c r="S81" s="68"/>
    </row>
    <row r="82" spans="1:19" ht="15" customHeight="1" x14ac:dyDescent="0.35">
      <c r="A82" s="98" t="str">
        <f t="shared" si="7"/>
        <v>3.15</v>
      </c>
      <c r="B82" s="68" t="s">
        <v>311</v>
      </c>
      <c r="C82" s="68" t="s">
        <v>93</v>
      </c>
      <c r="D82" s="68" t="s">
        <v>586</v>
      </c>
      <c r="E82" s="68"/>
      <c r="F82" s="68" t="s">
        <v>540</v>
      </c>
      <c r="G82" s="68">
        <v>10</v>
      </c>
      <c r="H82" s="68"/>
      <c r="I82" s="68"/>
      <c r="J82" s="74"/>
      <c r="K82" s="73"/>
      <c r="L82" s="73">
        <v>35</v>
      </c>
      <c r="M82" s="73"/>
      <c r="N82" s="73">
        <f>G82*L82</f>
        <v>350</v>
      </c>
      <c r="O82" s="68"/>
      <c r="P82" s="68"/>
      <c r="Q82" s="68"/>
      <c r="R82" s="68"/>
      <c r="S82" s="68"/>
    </row>
    <row r="83" spans="1:19" ht="15" customHeight="1" x14ac:dyDescent="0.35">
      <c r="A83" s="98" t="str">
        <f t="shared" si="7"/>
        <v>3.16</v>
      </c>
      <c r="B83" s="68" t="s">
        <v>311</v>
      </c>
      <c r="C83" s="68" t="s">
        <v>93</v>
      </c>
      <c r="D83" s="68" t="s">
        <v>586</v>
      </c>
      <c r="E83" s="68"/>
      <c r="F83" s="68" t="s">
        <v>541</v>
      </c>
      <c r="G83" s="68">
        <v>1</v>
      </c>
      <c r="H83" s="68"/>
      <c r="I83" s="68"/>
      <c r="J83" s="74"/>
      <c r="K83" s="73"/>
      <c r="L83" s="73">
        <v>500</v>
      </c>
      <c r="M83" s="73"/>
      <c r="N83" s="73">
        <f>G83*L83</f>
        <v>500</v>
      </c>
      <c r="O83" s="68"/>
      <c r="P83" s="68"/>
      <c r="Q83" s="68"/>
      <c r="R83" s="68"/>
      <c r="S83" s="68"/>
    </row>
    <row r="84" spans="1:19" ht="15" customHeight="1" x14ac:dyDescent="0.35">
      <c r="A84" s="98" t="str">
        <f t="shared" si="7"/>
        <v>3.17</v>
      </c>
      <c r="B84" s="68" t="s">
        <v>311</v>
      </c>
      <c r="C84" s="68" t="s">
        <v>93</v>
      </c>
      <c r="D84" s="68" t="s">
        <v>586</v>
      </c>
      <c r="E84" s="68"/>
      <c r="F84" s="68" t="s">
        <v>542</v>
      </c>
      <c r="G84" s="68">
        <v>1</v>
      </c>
      <c r="H84" s="68"/>
      <c r="I84" s="68"/>
      <c r="J84" s="74"/>
      <c r="K84" s="73"/>
      <c r="L84" s="73">
        <v>50</v>
      </c>
      <c r="M84" s="73"/>
      <c r="N84" s="73">
        <f>G84*L84</f>
        <v>50</v>
      </c>
      <c r="O84" s="68"/>
      <c r="P84" s="68"/>
      <c r="Q84" s="68"/>
      <c r="R84" s="68"/>
      <c r="S84" s="68"/>
    </row>
    <row r="85" spans="1:19" ht="15" customHeight="1" x14ac:dyDescent="0.35">
      <c r="A85" s="98" t="str">
        <f t="shared" si="7"/>
        <v>3.18</v>
      </c>
      <c r="B85" s="68" t="s">
        <v>311</v>
      </c>
      <c r="C85" s="68" t="s">
        <v>93</v>
      </c>
      <c r="D85" s="150" t="s">
        <v>456</v>
      </c>
      <c r="E85" s="150"/>
      <c r="F85" s="150" t="s">
        <v>457</v>
      </c>
      <c r="G85" s="68">
        <v>1</v>
      </c>
      <c r="H85" s="69" t="s">
        <v>458</v>
      </c>
      <c r="I85" s="69"/>
      <c r="J85" s="159"/>
      <c r="K85" s="73"/>
      <c r="L85" s="94">
        <v>100</v>
      </c>
      <c r="M85" s="73"/>
      <c r="N85" s="73">
        <f>G85*L85</f>
        <v>100</v>
      </c>
      <c r="O85" s="68"/>
      <c r="P85" s="68"/>
      <c r="Q85" s="68"/>
      <c r="R85" s="68"/>
      <c r="S85" s="68"/>
    </row>
    <row r="86" spans="1:19" ht="15" customHeight="1" x14ac:dyDescent="0.35">
      <c r="A86" s="98" t="str">
        <f t="shared" si="7"/>
        <v>3.19</v>
      </c>
      <c r="B86" s="68" t="s">
        <v>311</v>
      </c>
      <c r="C86" s="68" t="s">
        <v>313</v>
      </c>
      <c r="D86" s="69" t="s">
        <v>463</v>
      </c>
      <c r="E86" s="69"/>
      <c r="F86" s="68" t="s">
        <v>314</v>
      </c>
      <c r="G86" s="68">
        <v>2</v>
      </c>
      <c r="H86" s="69" t="s">
        <v>464</v>
      </c>
      <c r="I86" s="93" t="s">
        <v>518</v>
      </c>
      <c r="J86" s="74"/>
      <c r="K86" s="73"/>
      <c r="L86" s="73"/>
      <c r="M86" s="73">
        <v>4260.3599999999997</v>
      </c>
      <c r="N86" s="73">
        <v>5069.84</v>
      </c>
      <c r="O86" s="68"/>
      <c r="P86" s="68"/>
      <c r="Q86" s="68"/>
      <c r="R86" s="68"/>
      <c r="S86" s="68"/>
    </row>
    <row r="87" spans="1:19" ht="15" customHeight="1" x14ac:dyDescent="0.35">
      <c r="A87" s="98" t="str">
        <f t="shared" si="7"/>
        <v>3.20</v>
      </c>
      <c r="B87" s="68" t="s">
        <v>311</v>
      </c>
      <c r="C87" s="68" t="s">
        <v>313</v>
      </c>
      <c r="D87" s="150" t="s">
        <v>451</v>
      </c>
      <c r="E87" s="150"/>
      <c r="F87" s="150" t="s">
        <v>450</v>
      </c>
      <c r="G87" s="68">
        <v>1</v>
      </c>
      <c r="H87" s="69" t="s">
        <v>489</v>
      </c>
      <c r="I87" s="69"/>
      <c r="J87" s="159"/>
      <c r="K87" s="73"/>
      <c r="L87" s="94">
        <v>350</v>
      </c>
      <c r="M87" s="73"/>
      <c r="N87" s="73">
        <f>G87*L87</f>
        <v>350</v>
      </c>
      <c r="O87" s="68"/>
      <c r="P87" s="68"/>
      <c r="Q87" s="68"/>
      <c r="R87" s="68"/>
      <c r="S87" s="68"/>
    </row>
    <row r="88" spans="1:19" ht="15" customHeight="1" outlineLevel="1" x14ac:dyDescent="0.35">
      <c r="A88" s="85"/>
      <c r="B88" s="68" t="s">
        <v>311</v>
      </c>
      <c r="C88" s="68"/>
      <c r="D88" s="68"/>
      <c r="E88" s="68"/>
      <c r="F88" s="68" t="s">
        <v>490</v>
      </c>
      <c r="G88" s="68"/>
      <c r="H88" s="69" t="s">
        <v>595</v>
      </c>
      <c r="I88" s="69"/>
      <c r="J88" s="159"/>
      <c r="K88" s="73"/>
      <c r="L88" s="73"/>
      <c r="M88" s="73"/>
      <c r="N88" s="73"/>
      <c r="O88" s="68"/>
      <c r="P88" s="68"/>
      <c r="Q88" s="68"/>
      <c r="R88" s="68"/>
      <c r="S88" s="68"/>
    </row>
    <row r="89" spans="1:19" ht="15" customHeight="1" outlineLevel="1" x14ac:dyDescent="0.35">
      <c r="A89" s="85"/>
      <c r="B89" s="68" t="s">
        <v>311</v>
      </c>
      <c r="C89" s="68"/>
      <c r="D89" s="68"/>
      <c r="E89" s="68"/>
      <c r="F89" s="68" t="s">
        <v>491</v>
      </c>
      <c r="G89" s="68"/>
      <c r="H89" s="69"/>
      <c r="I89" s="69"/>
      <c r="J89" s="159"/>
      <c r="K89" s="73"/>
      <c r="L89" s="73"/>
      <c r="M89" s="73"/>
      <c r="N89" s="73"/>
      <c r="O89" s="68"/>
      <c r="P89" s="68"/>
      <c r="Q89" s="68"/>
      <c r="R89" s="68"/>
      <c r="S89" s="68"/>
    </row>
    <row r="90" spans="1:19" ht="15" customHeight="1" outlineLevel="1" x14ac:dyDescent="0.35">
      <c r="A90" s="85"/>
      <c r="B90" s="68" t="s">
        <v>311</v>
      </c>
      <c r="C90" s="68"/>
      <c r="D90" s="68"/>
      <c r="E90" s="68"/>
      <c r="F90" s="68" t="s">
        <v>492</v>
      </c>
      <c r="G90" s="68"/>
      <c r="H90" s="69"/>
      <c r="I90" s="69"/>
      <c r="J90" s="159"/>
      <c r="K90" s="73"/>
      <c r="L90" s="73"/>
      <c r="M90" s="73"/>
      <c r="N90" s="73"/>
      <c r="O90" s="68"/>
      <c r="P90" s="68"/>
      <c r="Q90" s="68"/>
      <c r="R90" s="68"/>
      <c r="S90" s="68"/>
    </row>
    <row r="91" spans="1:19" ht="15" customHeight="1" outlineLevel="1" x14ac:dyDescent="0.35">
      <c r="A91" s="85"/>
      <c r="B91" s="68" t="s">
        <v>311</v>
      </c>
      <c r="C91" s="68"/>
      <c r="D91" s="68"/>
      <c r="E91" s="68"/>
      <c r="F91" s="68" t="s">
        <v>493</v>
      </c>
      <c r="G91" s="68"/>
      <c r="H91" s="69"/>
      <c r="I91" s="69"/>
      <c r="J91" s="159"/>
      <c r="K91" s="73"/>
      <c r="L91" s="73"/>
      <c r="M91" s="73"/>
      <c r="N91" s="73"/>
      <c r="O91" s="68"/>
      <c r="P91" s="68"/>
      <c r="Q91" s="68"/>
      <c r="R91" s="68"/>
      <c r="S91" s="68"/>
    </row>
    <row r="92" spans="1:19" ht="15" customHeight="1" outlineLevel="1" x14ac:dyDescent="0.35">
      <c r="A92" s="85"/>
      <c r="B92" s="68" t="s">
        <v>311</v>
      </c>
      <c r="C92" s="68"/>
      <c r="D92" s="68"/>
      <c r="E92" s="68"/>
      <c r="F92" s="68" t="s">
        <v>494</v>
      </c>
      <c r="G92" s="68"/>
      <c r="H92" s="69"/>
      <c r="I92" s="69"/>
      <c r="J92" s="159"/>
      <c r="K92" s="73"/>
      <c r="L92" s="73"/>
      <c r="M92" s="73"/>
      <c r="N92" s="73"/>
      <c r="O92" s="68"/>
      <c r="P92" s="68"/>
      <c r="Q92" s="68"/>
      <c r="R92" s="68"/>
      <c r="S92" s="68"/>
    </row>
    <row r="93" spans="1:19" ht="15" customHeight="1" outlineLevel="1" x14ac:dyDescent="0.35">
      <c r="A93" s="85"/>
      <c r="B93" s="68" t="s">
        <v>311</v>
      </c>
      <c r="C93" s="68"/>
      <c r="D93" s="68"/>
      <c r="E93" s="68"/>
      <c r="F93" s="68" t="s">
        <v>495</v>
      </c>
      <c r="G93" s="68"/>
      <c r="H93" s="69"/>
      <c r="I93" s="69"/>
      <c r="J93" s="159"/>
      <c r="K93" s="73"/>
      <c r="L93" s="73"/>
      <c r="M93" s="73"/>
      <c r="N93" s="73"/>
      <c r="O93" s="68"/>
      <c r="P93" s="68"/>
      <c r="Q93" s="68"/>
      <c r="R93" s="68"/>
      <c r="S93" s="68"/>
    </row>
    <row r="94" spans="1:19" ht="15" customHeight="1" outlineLevel="1" x14ac:dyDescent="0.35">
      <c r="A94" s="85"/>
      <c r="B94" s="68" t="s">
        <v>311</v>
      </c>
      <c r="C94" s="68"/>
      <c r="D94" s="68"/>
      <c r="E94" s="68"/>
      <c r="F94" s="68" t="s">
        <v>496</v>
      </c>
      <c r="G94" s="68"/>
      <c r="H94" s="69"/>
      <c r="I94" s="69"/>
      <c r="J94" s="159"/>
      <c r="K94" s="73"/>
      <c r="L94" s="73"/>
      <c r="M94" s="73"/>
      <c r="N94" s="73"/>
      <c r="O94" s="68"/>
      <c r="P94" s="68"/>
      <c r="Q94" s="68"/>
      <c r="R94" s="68"/>
      <c r="S94" s="68"/>
    </row>
    <row r="95" spans="1:19" ht="15" customHeight="1" outlineLevel="1" x14ac:dyDescent="0.35">
      <c r="A95" s="85"/>
      <c r="B95" s="68" t="s">
        <v>311</v>
      </c>
      <c r="C95" s="68"/>
      <c r="D95" s="68"/>
      <c r="E95" s="68"/>
      <c r="F95" s="68" t="s">
        <v>497</v>
      </c>
      <c r="G95" s="68"/>
      <c r="H95" s="69"/>
      <c r="I95" s="69"/>
      <c r="J95" s="159"/>
      <c r="K95" s="73"/>
      <c r="L95" s="73"/>
      <c r="M95" s="73"/>
      <c r="N95" s="73"/>
      <c r="O95" s="68"/>
      <c r="P95" s="68"/>
      <c r="Q95" s="68"/>
      <c r="R95" s="68"/>
      <c r="S95" s="68"/>
    </row>
    <row r="96" spans="1:19" ht="15" customHeight="1" outlineLevel="1" x14ac:dyDescent="0.35">
      <c r="A96" s="85"/>
      <c r="B96" s="68" t="s">
        <v>311</v>
      </c>
      <c r="C96" s="68"/>
      <c r="D96" s="68"/>
      <c r="E96" s="68"/>
      <c r="F96" s="68" t="s">
        <v>498</v>
      </c>
      <c r="G96" s="68"/>
      <c r="H96" s="69"/>
      <c r="I96" s="69"/>
      <c r="J96" s="159"/>
      <c r="K96" s="73"/>
      <c r="L96" s="73"/>
      <c r="M96" s="73"/>
      <c r="N96" s="73"/>
      <c r="O96" s="68"/>
      <c r="P96" s="68"/>
      <c r="Q96" s="68"/>
      <c r="R96" s="68"/>
      <c r="S96" s="68"/>
    </row>
    <row r="97" spans="1:19" ht="15" customHeight="1" x14ac:dyDescent="0.35">
      <c r="A97" s="98" t="str">
        <f>"3."&amp;ROW(A21)</f>
        <v>3.21</v>
      </c>
      <c r="B97" s="68" t="s">
        <v>311</v>
      </c>
      <c r="C97" s="68" t="s">
        <v>315</v>
      </c>
      <c r="D97" s="69" t="s">
        <v>454</v>
      </c>
      <c r="E97" s="69"/>
      <c r="F97" s="93" t="s">
        <v>587</v>
      </c>
      <c r="G97" s="93">
        <v>1</v>
      </c>
      <c r="H97" s="93"/>
      <c r="I97" s="93" t="s">
        <v>455</v>
      </c>
      <c r="J97" s="160"/>
      <c r="K97" s="99"/>
      <c r="L97" s="94">
        <v>1500</v>
      </c>
      <c r="M97" s="73"/>
      <c r="N97" s="73">
        <f t="shared" ref="N97:N111" si="9">G97*L97</f>
        <v>1500</v>
      </c>
      <c r="O97" s="68"/>
      <c r="P97" s="68"/>
      <c r="Q97" s="68"/>
      <c r="R97" s="68"/>
      <c r="S97" s="68"/>
    </row>
    <row r="98" spans="1:19" ht="15" customHeight="1" outlineLevel="1" x14ac:dyDescent="0.35">
      <c r="A98" s="98"/>
      <c r="B98" s="68" t="s">
        <v>311</v>
      </c>
      <c r="C98" s="68"/>
      <c r="D98" s="68"/>
      <c r="E98" s="68"/>
      <c r="F98" s="68" t="s">
        <v>438</v>
      </c>
      <c r="G98" s="68">
        <v>2</v>
      </c>
      <c r="H98" s="69" t="s">
        <v>437</v>
      </c>
      <c r="I98" s="69"/>
      <c r="J98" s="159" t="s">
        <v>436</v>
      </c>
      <c r="K98" s="73"/>
      <c r="L98" s="89">
        <v>1100</v>
      </c>
      <c r="M98" s="73"/>
      <c r="N98" s="73">
        <f t="shared" si="9"/>
        <v>2200</v>
      </c>
      <c r="O98" s="68"/>
      <c r="P98" s="68"/>
      <c r="Q98" s="68"/>
      <c r="R98" s="68"/>
      <c r="S98" s="68"/>
    </row>
    <row r="99" spans="1:19" ht="15" customHeight="1" outlineLevel="1" x14ac:dyDescent="0.35">
      <c r="A99" s="98"/>
      <c r="B99" s="68" t="s">
        <v>311</v>
      </c>
      <c r="C99" s="68"/>
      <c r="D99" s="68"/>
      <c r="E99" s="68"/>
      <c r="F99" s="68" t="s">
        <v>441</v>
      </c>
      <c r="G99" s="68">
        <v>2</v>
      </c>
      <c r="H99" s="69" t="s">
        <v>440</v>
      </c>
      <c r="I99" s="69" t="s">
        <v>366</v>
      </c>
      <c r="J99" s="159" t="s">
        <v>439</v>
      </c>
      <c r="K99" s="73"/>
      <c r="L99" s="89">
        <v>1298</v>
      </c>
      <c r="M99" s="73"/>
      <c r="N99" s="73">
        <f t="shared" si="9"/>
        <v>2596</v>
      </c>
      <c r="O99" s="68"/>
      <c r="P99" s="68"/>
      <c r="Q99" s="68"/>
      <c r="R99" s="68"/>
      <c r="S99" s="68"/>
    </row>
    <row r="100" spans="1:19" ht="15" customHeight="1" outlineLevel="1" x14ac:dyDescent="0.35">
      <c r="A100" s="98"/>
      <c r="B100" s="68" t="s">
        <v>311</v>
      </c>
      <c r="C100" s="68"/>
      <c r="D100" s="68"/>
      <c r="E100" s="68"/>
      <c r="F100" s="68" t="s">
        <v>443</v>
      </c>
      <c r="G100" s="68">
        <v>1</v>
      </c>
      <c r="H100" s="69" t="s">
        <v>437</v>
      </c>
      <c r="I100" s="69"/>
      <c r="J100" s="159" t="s">
        <v>442</v>
      </c>
      <c r="K100" s="73"/>
      <c r="L100" s="89">
        <v>1000</v>
      </c>
      <c r="M100" s="73"/>
      <c r="N100" s="73">
        <f t="shared" si="9"/>
        <v>1000</v>
      </c>
      <c r="O100" s="68"/>
      <c r="P100" s="68"/>
      <c r="Q100" s="68"/>
      <c r="R100" s="68"/>
      <c r="S100" s="68"/>
    </row>
    <row r="101" spans="1:19" ht="15" customHeight="1" outlineLevel="1" x14ac:dyDescent="0.35">
      <c r="A101" s="98"/>
      <c r="B101" s="68" t="s">
        <v>311</v>
      </c>
      <c r="C101" s="68"/>
      <c r="D101" s="68"/>
      <c r="E101" s="68"/>
      <c r="F101" s="68" t="s">
        <v>444</v>
      </c>
      <c r="G101" s="68">
        <v>1</v>
      </c>
      <c r="H101" s="69" t="s">
        <v>446</v>
      </c>
      <c r="I101" s="69" t="s">
        <v>447</v>
      </c>
      <c r="J101" s="159" t="s">
        <v>445</v>
      </c>
      <c r="K101" s="73"/>
      <c r="L101" s="89">
        <v>299</v>
      </c>
      <c r="M101" s="73"/>
      <c r="N101" s="73">
        <f t="shared" si="9"/>
        <v>299</v>
      </c>
      <c r="O101" s="68"/>
      <c r="P101" s="68"/>
      <c r="Q101" s="68"/>
      <c r="R101" s="68"/>
      <c r="S101" s="68"/>
    </row>
    <row r="102" spans="1:19" ht="15" customHeight="1" outlineLevel="1" x14ac:dyDescent="0.35">
      <c r="A102" s="98"/>
      <c r="B102" s="68" t="s">
        <v>311</v>
      </c>
      <c r="C102" s="68"/>
      <c r="D102" s="68"/>
      <c r="E102" s="68"/>
      <c r="F102" s="68" t="s">
        <v>448</v>
      </c>
      <c r="G102" s="68">
        <v>1</v>
      </c>
      <c r="H102" s="69" t="s">
        <v>366</v>
      </c>
      <c r="I102" s="69" t="s">
        <v>366</v>
      </c>
      <c r="J102" s="159" t="s">
        <v>449</v>
      </c>
      <c r="K102" s="73"/>
      <c r="L102" s="89">
        <v>139</v>
      </c>
      <c r="M102" s="73"/>
      <c r="N102" s="73">
        <f t="shared" si="9"/>
        <v>139</v>
      </c>
      <c r="O102" s="68"/>
      <c r="P102" s="68"/>
      <c r="Q102" s="68"/>
      <c r="R102" s="68"/>
      <c r="S102" s="68"/>
    </row>
    <row r="103" spans="1:19" ht="15" customHeight="1" outlineLevel="1" x14ac:dyDescent="0.35">
      <c r="A103" s="98"/>
      <c r="B103" s="68" t="s">
        <v>311</v>
      </c>
      <c r="C103" s="68"/>
      <c r="D103" s="68"/>
      <c r="E103" s="68"/>
      <c r="F103" s="68" t="s">
        <v>519</v>
      </c>
      <c r="G103" s="68">
        <v>1</v>
      </c>
      <c r="H103" s="69" t="s">
        <v>520</v>
      </c>
      <c r="I103" s="69" t="s">
        <v>366</v>
      </c>
      <c r="J103" s="159" t="s">
        <v>521</v>
      </c>
      <c r="K103" s="73"/>
      <c r="L103" s="89">
        <v>655</v>
      </c>
      <c r="M103" s="73"/>
      <c r="N103" s="73">
        <f t="shared" si="9"/>
        <v>655</v>
      </c>
      <c r="O103" s="68"/>
      <c r="P103" s="68"/>
      <c r="Q103" s="68"/>
      <c r="R103" s="68"/>
      <c r="S103" s="68"/>
    </row>
    <row r="104" spans="1:19" ht="15" customHeight="1" outlineLevel="1" x14ac:dyDescent="0.35">
      <c r="A104" s="98"/>
      <c r="B104" s="68" t="s">
        <v>311</v>
      </c>
      <c r="C104" s="68"/>
      <c r="D104" s="68"/>
      <c r="E104" s="68"/>
      <c r="F104" s="68" t="s">
        <v>522</v>
      </c>
      <c r="G104" s="68">
        <v>2</v>
      </c>
      <c r="H104" s="69" t="s">
        <v>523</v>
      </c>
      <c r="I104" s="69" t="s">
        <v>366</v>
      </c>
      <c r="J104" s="159" t="s">
        <v>524</v>
      </c>
      <c r="K104" s="73"/>
      <c r="L104" s="89">
        <v>29</v>
      </c>
      <c r="M104" s="73"/>
      <c r="N104" s="73">
        <f t="shared" si="9"/>
        <v>58</v>
      </c>
      <c r="O104" s="68"/>
      <c r="P104" s="68"/>
      <c r="Q104" s="68"/>
      <c r="R104" s="68"/>
      <c r="S104" s="68"/>
    </row>
    <row r="105" spans="1:19" ht="15" customHeight="1" outlineLevel="1" x14ac:dyDescent="0.35">
      <c r="A105" s="98"/>
      <c r="B105" s="68" t="s">
        <v>311</v>
      </c>
      <c r="C105" s="68"/>
      <c r="D105" s="68"/>
      <c r="E105" s="68"/>
      <c r="F105" s="68" t="s">
        <v>525</v>
      </c>
      <c r="G105" s="68">
        <v>1</v>
      </c>
      <c r="H105" s="69" t="s">
        <v>531</v>
      </c>
      <c r="I105" s="69" t="s">
        <v>366</v>
      </c>
      <c r="J105" s="159" t="s">
        <v>532</v>
      </c>
      <c r="K105" s="73"/>
      <c r="L105" s="89">
        <v>58</v>
      </c>
      <c r="M105" s="73"/>
      <c r="N105" s="73">
        <f t="shared" si="9"/>
        <v>58</v>
      </c>
      <c r="O105" s="68"/>
      <c r="P105" s="68"/>
      <c r="Q105" s="68"/>
      <c r="R105" s="68"/>
      <c r="S105" s="68"/>
    </row>
    <row r="106" spans="1:19" ht="15" customHeight="1" outlineLevel="1" x14ac:dyDescent="0.35">
      <c r="A106" s="98"/>
      <c r="B106" s="68" t="s">
        <v>311</v>
      </c>
      <c r="C106" s="68"/>
      <c r="D106" s="68"/>
      <c r="E106" s="68"/>
      <c r="F106" s="68" t="s">
        <v>526</v>
      </c>
      <c r="G106" s="68">
        <v>1</v>
      </c>
      <c r="H106" s="69"/>
      <c r="I106" s="69"/>
      <c r="J106" s="159" t="s">
        <v>353</v>
      </c>
      <c r="K106" s="73"/>
      <c r="L106" s="100">
        <v>200</v>
      </c>
      <c r="M106" s="73"/>
      <c r="N106" s="73">
        <f t="shared" si="9"/>
        <v>200</v>
      </c>
      <c r="O106" s="68"/>
      <c r="P106" s="68"/>
      <c r="Q106" s="68"/>
      <c r="R106" s="68"/>
      <c r="S106" s="68"/>
    </row>
    <row r="107" spans="1:19" ht="15" customHeight="1" outlineLevel="1" x14ac:dyDescent="0.35">
      <c r="A107" s="98"/>
      <c r="B107" s="68" t="s">
        <v>311</v>
      </c>
      <c r="C107" s="68"/>
      <c r="D107" s="68"/>
      <c r="E107" s="68"/>
      <c r="F107" s="68" t="s">
        <v>527</v>
      </c>
      <c r="G107" s="68">
        <v>1</v>
      </c>
      <c r="H107" s="69"/>
      <c r="I107" s="69"/>
      <c r="J107" s="159" t="s">
        <v>353</v>
      </c>
      <c r="K107" s="73"/>
      <c r="L107" s="94">
        <v>60</v>
      </c>
      <c r="M107" s="73"/>
      <c r="N107" s="73">
        <f t="shared" si="9"/>
        <v>60</v>
      </c>
      <c r="O107" s="68"/>
      <c r="P107" s="68"/>
      <c r="Q107" s="68"/>
      <c r="R107" s="68"/>
      <c r="S107" s="68"/>
    </row>
    <row r="108" spans="1:19" ht="15" customHeight="1" outlineLevel="1" x14ac:dyDescent="0.35">
      <c r="A108" s="98"/>
      <c r="B108" s="68" t="s">
        <v>311</v>
      </c>
      <c r="C108" s="68"/>
      <c r="D108" s="68"/>
      <c r="E108" s="68"/>
      <c r="F108" s="68" t="s">
        <v>528</v>
      </c>
      <c r="G108" s="68">
        <v>1</v>
      </c>
      <c r="H108" s="69"/>
      <c r="I108" s="69"/>
      <c r="J108" s="159" t="s">
        <v>353</v>
      </c>
      <c r="K108" s="73"/>
      <c r="L108" s="94">
        <v>100</v>
      </c>
      <c r="M108" s="73"/>
      <c r="N108" s="73">
        <f t="shared" si="9"/>
        <v>100</v>
      </c>
      <c r="O108" s="68"/>
      <c r="P108" s="68"/>
      <c r="Q108" s="68"/>
      <c r="R108" s="68"/>
      <c r="S108" s="68"/>
    </row>
    <row r="109" spans="1:19" ht="15" customHeight="1" outlineLevel="1" x14ac:dyDescent="0.35">
      <c r="A109" s="98"/>
      <c r="B109" s="68" t="s">
        <v>311</v>
      </c>
      <c r="C109" s="68"/>
      <c r="D109" s="68"/>
      <c r="E109" s="68"/>
      <c r="F109" s="68" t="s">
        <v>529</v>
      </c>
      <c r="G109" s="68">
        <v>4</v>
      </c>
      <c r="H109" s="69"/>
      <c r="I109" s="69"/>
      <c r="J109" s="159" t="s">
        <v>353</v>
      </c>
      <c r="K109" s="73"/>
      <c r="L109" s="94">
        <v>100</v>
      </c>
      <c r="M109" s="73"/>
      <c r="N109" s="73">
        <f t="shared" si="9"/>
        <v>400</v>
      </c>
      <c r="O109" s="68"/>
      <c r="P109" s="68"/>
      <c r="Q109" s="68"/>
      <c r="R109" s="68"/>
      <c r="S109" s="68"/>
    </row>
    <row r="110" spans="1:19" ht="15" customHeight="1" outlineLevel="1" x14ac:dyDescent="0.35">
      <c r="A110" s="98"/>
      <c r="B110" s="68" t="s">
        <v>311</v>
      </c>
      <c r="C110" s="68"/>
      <c r="D110" s="68"/>
      <c r="E110" s="68"/>
      <c r="F110" s="68" t="s">
        <v>530</v>
      </c>
      <c r="G110" s="68">
        <v>4</v>
      </c>
      <c r="H110" s="69" t="s">
        <v>534</v>
      </c>
      <c r="I110" s="69" t="s">
        <v>468</v>
      </c>
      <c r="J110" s="159" t="s">
        <v>533</v>
      </c>
      <c r="K110" s="73"/>
      <c r="L110" s="89">
        <v>11.9</v>
      </c>
      <c r="M110" s="73"/>
      <c r="N110" s="73">
        <f t="shared" si="9"/>
        <v>47.6</v>
      </c>
      <c r="O110" s="68"/>
      <c r="P110" s="68"/>
      <c r="Q110" s="68"/>
      <c r="R110" s="68"/>
      <c r="S110" s="68"/>
    </row>
    <row r="111" spans="1:19" ht="15" customHeight="1" x14ac:dyDescent="0.35">
      <c r="A111" s="85" t="s">
        <v>633</v>
      </c>
      <c r="B111" s="68" t="s">
        <v>311</v>
      </c>
      <c r="C111" s="68" t="s">
        <v>313</v>
      </c>
      <c r="D111" s="69" t="s">
        <v>463</v>
      </c>
      <c r="E111" s="69"/>
      <c r="F111" s="68" t="s">
        <v>465</v>
      </c>
      <c r="G111" s="68">
        <v>1</v>
      </c>
      <c r="H111" s="69" t="s">
        <v>500</v>
      </c>
      <c r="I111" s="68" t="s">
        <v>467</v>
      </c>
      <c r="J111" s="74"/>
      <c r="K111" s="73"/>
      <c r="L111" s="94">
        <v>4156.74</v>
      </c>
      <c r="M111" s="73"/>
      <c r="N111" s="73">
        <f t="shared" si="9"/>
        <v>4156.74</v>
      </c>
      <c r="O111" s="68"/>
      <c r="P111" s="68"/>
      <c r="Q111" s="68"/>
      <c r="R111" s="68"/>
      <c r="S111" s="68"/>
    </row>
    <row r="112" spans="1:19" ht="15" customHeight="1" x14ac:dyDescent="0.35">
      <c r="A112" s="85" t="s">
        <v>634</v>
      </c>
      <c r="B112" s="68" t="s">
        <v>311</v>
      </c>
      <c r="C112" s="68" t="s">
        <v>313</v>
      </c>
      <c r="D112" s="69" t="s">
        <v>451</v>
      </c>
      <c r="E112" s="69"/>
      <c r="F112" s="68" t="s">
        <v>466</v>
      </c>
      <c r="G112" s="68">
        <v>1</v>
      </c>
      <c r="H112" s="68"/>
      <c r="I112" s="68"/>
      <c r="J112" s="74"/>
      <c r="K112" s="73"/>
      <c r="L112" s="94">
        <v>500</v>
      </c>
      <c r="M112" s="73"/>
      <c r="N112" s="73"/>
      <c r="O112" s="68"/>
      <c r="P112" s="68"/>
      <c r="Q112" s="68"/>
      <c r="R112" s="68"/>
      <c r="S112" s="68"/>
    </row>
    <row r="113" spans="1:89" ht="15" customHeight="1" x14ac:dyDescent="0.35">
      <c r="A113" s="85" t="s">
        <v>635</v>
      </c>
      <c r="B113" s="68" t="s">
        <v>311</v>
      </c>
      <c r="C113" s="68" t="s">
        <v>313</v>
      </c>
      <c r="D113" s="69" t="s">
        <v>454</v>
      </c>
      <c r="E113" s="69"/>
      <c r="F113" s="69" t="s">
        <v>488</v>
      </c>
      <c r="G113" s="68">
        <v>1</v>
      </c>
      <c r="H113" s="93" t="s">
        <v>499</v>
      </c>
      <c r="I113" s="68"/>
      <c r="J113" s="74"/>
      <c r="K113" s="73"/>
      <c r="L113" s="101"/>
      <c r="M113" s="73"/>
      <c r="N113" s="73"/>
      <c r="O113" s="68"/>
      <c r="P113" s="68"/>
      <c r="Q113" s="68"/>
      <c r="R113" s="68"/>
      <c r="S113" s="68"/>
    </row>
    <row r="114" spans="1:89" ht="15" customHeight="1" x14ac:dyDescent="0.35">
      <c r="A114" s="85" t="s">
        <v>636</v>
      </c>
      <c r="B114" s="68" t="s">
        <v>311</v>
      </c>
      <c r="C114" s="68" t="s">
        <v>313</v>
      </c>
      <c r="D114" s="68" t="s">
        <v>454</v>
      </c>
      <c r="E114" s="68"/>
      <c r="F114" s="68" t="s">
        <v>316</v>
      </c>
      <c r="G114" s="68">
        <v>1</v>
      </c>
      <c r="H114" s="69" t="s">
        <v>452</v>
      </c>
      <c r="I114" s="69" t="s">
        <v>453</v>
      </c>
      <c r="J114" s="159"/>
      <c r="K114" s="73">
        <v>5830</v>
      </c>
      <c r="L114" s="89">
        <f>5747.7+1190</f>
        <v>6937.7</v>
      </c>
      <c r="M114" s="73"/>
      <c r="N114" s="73">
        <f>G114*L114</f>
        <v>6937.7</v>
      </c>
      <c r="O114" s="68"/>
      <c r="P114" s="68"/>
      <c r="Q114" s="68"/>
      <c r="R114" s="68"/>
      <c r="S114" s="68"/>
    </row>
    <row r="115" spans="1:89" s="65" customFormat="1" ht="30" customHeight="1" thickBot="1" x14ac:dyDescent="0.5">
      <c r="A115" s="85"/>
      <c r="B115" s="68" t="s">
        <v>311</v>
      </c>
      <c r="C115" s="68"/>
      <c r="D115" s="68"/>
      <c r="E115" s="68"/>
      <c r="F115" s="68"/>
      <c r="G115" s="68"/>
      <c r="H115" s="68"/>
      <c r="I115" s="68"/>
      <c r="J115" s="74"/>
      <c r="K115" s="73"/>
      <c r="L115" s="73"/>
      <c r="M115" s="95">
        <f>N115/1.19</f>
        <v>32804.084033613442</v>
      </c>
      <c r="N115" s="86">
        <f>SUM(N68:N114)</f>
        <v>39036.859999999993</v>
      </c>
      <c r="O115" s="68"/>
      <c r="P115" s="68"/>
      <c r="Q115" s="68"/>
      <c r="R115" s="68"/>
      <c r="S115" s="68"/>
    </row>
    <row r="116" spans="1:89" ht="30" customHeight="1" x14ac:dyDescent="0.35">
      <c r="A116" s="85" t="s">
        <v>321</v>
      </c>
      <c r="B116" s="74" t="s">
        <v>322</v>
      </c>
      <c r="C116" s="68" t="s">
        <v>93</v>
      </c>
      <c r="D116" s="141" t="s">
        <v>586</v>
      </c>
      <c r="E116" s="141" t="s">
        <v>9</v>
      </c>
      <c r="F116" s="141" t="s">
        <v>645</v>
      </c>
      <c r="G116" s="68">
        <v>20</v>
      </c>
      <c r="H116" s="68" t="s">
        <v>14</v>
      </c>
      <c r="I116" s="68" t="s">
        <v>575</v>
      </c>
      <c r="J116" s="157"/>
      <c r="K116" s="73"/>
      <c r="L116" s="101">
        <v>430</v>
      </c>
      <c r="M116" s="73"/>
      <c r="N116" s="101">
        <f>SUM(G116*L116)</f>
        <v>8600</v>
      </c>
      <c r="O116" s="68"/>
      <c r="P116" s="68"/>
      <c r="Q116" s="68"/>
      <c r="R116" s="68"/>
      <c r="S116" s="68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134"/>
      <c r="AO116" s="134"/>
      <c r="AP116" s="134"/>
      <c r="AQ116" s="134"/>
      <c r="AR116" s="134"/>
      <c r="AS116" s="134"/>
      <c r="AT116" s="134"/>
      <c r="AU116" s="134"/>
      <c r="AV116" s="134"/>
      <c r="AW116" s="134"/>
      <c r="AX116" s="134"/>
      <c r="AY116" s="134"/>
      <c r="AZ116" s="134"/>
      <c r="BA116" s="134"/>
      <c r="BB116" s="134"/>
      <c r="BC116" s="134"/>
      <c r="BD116" s="134"/>
      <c r="BE116" s="134"/>
      <c r="BF116" s="134"/>
      <c r="BG116" s="134"/>
      <c r="BH116" s="134"/>
      <c r="BI116" s="134"/>
      <c r="BJ116" s="134"/>
      <c r="BK116" s="134"/>
      <c r="BL116" s="134"/>
      <c r="BM116" s="134"/>
      <c r="BN116" s="134"/>
      <c r="BO116" s="134"/>
      <c r="BP116" s="134"/>
      <c r="BQ116" s="134"/>
      <c r="BR116" s="134"/>
      <c r="BS116" s="134"/>
      <c r="BT116" s="134"/>
      <c r="BU116" s="134"/>
      <c r="BV116" s="134"/>
      <c r="BW116" s="134"/>
      <c r="BX116" s="134"/>
      <c r="BY116" s="134"/>
      <c r="BZ116" s="134"/>
      <c r="CA116" s="134"/>
      <c r="CB116" s="134"/>
      <c r="CC116" s="134"/>
      <c r="CD116" s="134"/>
      <c r="CE116" s="134"/>
      <c r="CF116" s="134"/>
      <c r="CG116" s="134"/>
      <c r="CH116" s="134"/>
      <c r="CI116" s="134"/>
      <c r="CJ116" s="134"/>
      <c r="CK116" s="134"/>
    </row>
    <row r="117" spans="1:89" ht="30" customHeight="1" x14ac:dyDescent="0.35">
      <c r="A117" s="85" t="s">
        <v>324</v>
      </c>
      <c r="B117" s="74" t="s">
        <v>322</v>
      </c>
      <c r="C117" s="68" t="s">
        <v>93</v>
      </c>
      <c r="D117" s="141" t="s">
        <v>586</v>
      </c>
      <c r="E117" s="141" t="s">
        <v>417</v>
      </c>
      <c r="F117" s="141" t="s">
        <v>651</v>
      </c>
      <c r="G117" s="69">
        <v>2</v>
      </c>
      <c r="H117" s="68"/>
      <c r="I117" s="68"/>
      <c r="J117" s="161" t="s">
        <v>648</v>
      </c>
      <c r="K117" s="73"/>
      <c r="L117" s="101">
        <v>133.28</v>
      </c>
      <c r="M117" s="73"/>
      <c r="N117" s="101">
        <f>SUM(G117*L117)</f>
        <v>266.56</v>
      </c>
      <c r="O117" s="68"/>
      <c r="P117" s="68"/>
      <c r="Q117" s="68"/>
      <c r="R117" s="68"/>
      <c r="S117" s="68"/>
    </row>
    <row r="118" spans="1:89" ht="30" customHeight="1" x14ac:dyDescent="0.35">
      <c r="A118" s="85" t="s">
        <v>325</v>
      </c>
      <c r="B118" s="74" t="s">
        <v>322</v>
      </c>
      <c r="C118" s="68" t="s">
        <v>93</v>
      </c>
      <c r="D118" s="150" t="s">
        <v>586</v>
      </c>
      <c r="E118" s="150" t="s">
        <v>301</v>
      </c>
      <c r="F118" s="150" t="s">
        <v>650</v>
      </c>
      <c r="G118" s="68">
        <v>1</v>
      </c>
      <c r="H118" s="68"/>
      <c r="I118" s="68"/>
      <c r="J118" s="161" t="s">
        <v>649</v>
      </c>
      <c r="K118" s="73"/>
      <c r="L118" s="101">
        <v>318.91000000000003</v>
      </c>
      <c r="M118" s="73"/>
      <c r="N118" s="101">
        <f>SUM(G118*L118)</f>
        <v>318.91000000000003</v>
      </c>
      <c r="O118" s="68"/>
      <c r="P118" s="68"/>
      <c r="Q118" s="68"/>
      <c r="R118" s="68"/>
      <c r="S118" s="68"/>
    </row>
    <row r="119" spans="1:89" ht="30" customHeight="1" x14ac:dyDescent="0.35">
      <c r="A119" s="85" t="s">
        <v>326</v>
      </c>
      <c r="B119" s="74" t="s">
        <v>322</v>
      </c>
      <c r="C119" s="68" t="s">
        <v>93</v>
      </c>
      <c r="D119" s="141" t="s">
        <v>586</v>
      </c>
      <c r="E119" s="141" t="s">
        <v>43</v>
      </c>
      <c r="F119" s="141" t="s">
        <v>706</v>
      </c>
      <c r="G119" s="68">
        <v>1</v>
      </c>
      <c r="H119" s="68" t="s">
        <v>696</v>
      </c>
      <c r="I119" s="68" t="s">
        <v>129</v>
      </c>
      <c r="J119" s="154" t="s">
        <v>513</v>
      </c>
      <c r="K119" s="99">
        <v>4522.28</v>
      </c>
      <c r="L119" s="99">
        <v>5381.51</v>
      </c>
      <c r="M119" s="73"/>
      <c r="N119" s="101">
        <f t="shared" ref="N119:N120" si="10">SUM(G119*L119)</f>
        <v>5381.51</v>
      </c>
      <c r="O119" s="68"/>
      <c r="P119" s="68"/>
      <c r="Q119" s="138"/>
      <c r="R119" s="68"/>
      <c r="S119" s="68"/>
    </row>
    <row r="120" spans="1:89" ht="30" customHeight="1" x14ac:dyDescent="0.35">
      <c r="A120" s="85" t="s">
        <v>328</v>
      </c>
      <c r="B120" s="74" t="s">
        <v>322</v>
      </c>
      <c r="C120" s="68" t="s">
        <v>93</v>
      </c>
      <c r="D120" s="141" t="s">
        <v>586</v>
      </c>
      <c r="E120" s="141" t="s">
        <v>43</v>
      </c>
      <c r="F120" s="141" t="s">
        <v>329</v>
      </c>
      <c r="G120" s="68">
        <v>1</v>
      </c>
      <c r="H120" s="68"/>
      <c r="I120" s="68" t="s">
        <v>129</v>
      </c>
      <c r="J120" s="154" t="s">
        <v>695</v>
      </c>
      <c r="K120" s="73"/>
      <c r="L120" s="129">
        <v>892.49</v>
      </c>
      <c r="M120" s="73"/>
      <c r="N120" s="101">
        <f t="shared" si="10"/>
        <v>892.49</v>
      </c>
      <c r="O120" s="68"/>
      <c r="P120" s="68"/>
      <c r="Q120" s="68"/>
      <c r="R120" s="68"/>
      <c r="S120" s="68"/>
    </row>
    <row r="121" spans="1:89" ht="30" customHeight="1" x14ac:dyDescent="0.35">
      <c r="A121" s="85" t="s">
        <v>330</v>
      </c>
      <c r="B121" s="74" t="s">
        <v>322</v>
      </c>
      <c r="C121" s="68" t="s">
        <v>93</v>
      </c>
      <c r="D121" s="150" t="s">
        <v>170</v>
      </c>
      <c r="E121" s="150" t="s">
        <v>33</v>
      </c>
      <c r="F121" s="150" t="s">
        <v>692</v>
      </c>
      <c r="G121" s="68">
        <v>1</v>
      </c>
      <c r="H121" s="68"/>
      <c r="I121" s="68" t="s">
        <v>129</v>
      </c>
      <c r="J121" s="154" t="s">
        <v>691</v>
      </c>
      <c r="K121" s="73"/>
      <c r="L121" s="129">
        <v>323.67</v>
      </c>
      <c r="M121" s="73"/>
      <c r="N121" s="101">
        <f>SUM(G121*L121)</f>
        <v>323.67</v>
      </c>
      <c r="O121" s="68"/>
      <c r="P121" s="68"/>
      <c r="Q121" s="68"/>
      <c r="R121" s="68"/>
      <c r="S121" s="68"/>
    </row>
    <row r="122" spans="1:89" ht="15" customHeight="1" x14ac:dyDescent="0.35">
      <c r="A122" s="85"/>
      <c r="B122" s="74"/>
      <c r="C122" s="68"/>
      <c r="D122" s="150" t="s">
        <v>170</v>
      </c>
      <c r="E122" s="150" t="s">
        <v>33</v>
      </c>
      <c r="F122" s="150" t="s">
        <v>690</v>
      </c>
      <c r="G122" s="69">
        <v>1</v>
      </c>
      <c r="H122" s="68" t="s">
        <v>693</v>
      </c>
      <c r="I122" s="68" t="s">
        <v>129</v>
      </c>
      <c r="J122" s="154" t="s">
        <v>694</v>
      </c>
      <c r="K122" s="73"/>
      <c r="L122" s="129">
        <v>52.35</v>
      </c>
      <c r="M122" s="73"/>
      <c r="N122" s="101">
        <f>SUM(G122*L122)</f>
        <v>52.35</v>
      </c>
      <c r="O122" s="68"/>
      <c r="P122" s="68"/>
      <c r="Q122" s="68"/>
      <c r="R122" s="68"/>
      <c r="S122" s="68"/>
    </row>
    <row r="123" spans="1:89" ht="30" customHeight="1" x14ac:dyDescent="0.35">
      <c r="A123" s="85" t="s">
        <v>331</v>
      </c>
      <c r="B123" s="74" t="s">
        <v>322</v>
      </c>
      <c r="C123" s="68" t="s">
        <v>93</v>
      </c>
      <c r="D123" s="141" t="s">
        <v>586</v>
      </c>
      <c r="E123" s="141" t="s">
        <v>574</v>
      </c>
      <c r="F123" s="141" t="s">
        <v>332</v>
      </c>
      <c r="G123" s="68">
        <v>1</v>
      </c>
      <c r="H123" s="68"/>
      <c r="I123" s="68"/>
      <c r="J123" s="154" t="s">
        <v>599</v>
      </c>
      <c r="K123" s="101">
        <v>849</v>
      </c>
      <c r="L123" s="101">
        <v>1010.31</v>
      </c>
      <c r="M123" s="101">
        <v>849</v>
      </c>
      <c r="N123" s="101">
        <v>1010.31</v>
      </c>
      <c r="O123" s="68"/>
      <c r="P123" s="68"/>
      <c r="Q123" s="68"/>
      <c r="R123" s="68"/>
      <c r="S123" s="68"/>
    </row>
    <row r="124" spans="1:89" ht="30" customHeight="1" x14ac:dyDescent="0.35">
      <c r="A124" s="85" t="s">
        <v>333</v>
      </c>
      <c r="B124" s="74" t="s">
        <v>322</v>
      </c>
      <c r="C124" s="68" t="s">
        <v>93</v>
      </c>
      <c r="D124" s="141" t="s">
        <v>586</v>
      </c>
      <c r="E124" s="141" t="s">
        <v>292</v>
      </c>
      <c r="F124" s="141" t="s">
        <v>697</v>
      </c>
      <c r="G124" s="68">
        <v>1</v>
      </c>
      <c r="H124" s="68"/>
      <c r="I124" s="68" t="s">
        <v>575</v>
      </c>
      <c r="J124" s="157"/>
      <c r="K124" s="73"/>
      <c r="L124" s="101">
        <v>758.75</v>
      </c>
      <c r="M124" s="101"/>
      <c r="N124" s="101">
        <f t="shared" ref="N124:N145" si="11">SUM(G124*L124)</f>
        <v>758.75</v>
      </c>
      <c r="O124" s="68"/>
      <c r="P124" s="68"/>
      <c r="Q124" s="68"/>
      <c r="R124" s="68"/>
      <c r="S124" s="68"/>
    </row>
    <row r="125" spans="1:89" ht="30" customHeight="1" x14ac:dyDescent="0.35">
      <c r="A125" s="85" t="s">
        <v>334</v>
      </c>
      <c r="B125" s="74" t="s">
        <v>322</v>
      </c>
      <c r="C125" s="68" t="s">
        <v>93</v>
      </c>
      <c r="D125" s="68" t="s">
        <v>335</v>
      </c>
      <c r="E125" s="68"/>
      <c r="F125" s="68" t="s">
        <v>336</v>
      </c>
      <c r="G125" s="68">
        <v>1</v>
      </c>
      <c r="H125" s="68"/>
      <c r="I125" s="68"/>
      <c r="J125" s="157"/>
      <c r="K125" s="73"/>
      <c r="L125" s="101">
        <v>1500</v>
      </c>
      <c r="M125" s="101"/>
      <c r="N125" s="101">
        <f t="shared" si="11"/>
        <v>1500</v>
      </c>
      <c r="O125" s="68"/>
      <c r="P125" s="68"/>
      <c r="Q125" s="68"/>
      <c r="R125" s="68"/>
      <c r="S125" s="68"/>
    </row>
    <row r="126" spans="1:89" ht="30" customHeight="1" x14ac:dyDescent="0.35">
      <c r="A126" s="85" t="s">
        <v>337</v>
      </c>
      <c r="B126" s="74" t="s">
        <v>322</v>
      </c>
      <c r="C126" s="68" t="s">
        <v>313</v>
      </c>
      <c r="D126" s="150" t="s">
        <v>208</v>
      </c>
      <c r="E126" s="150"/>
      <c r="F126" s="150" t="s">
        <v>338</v>
      </c>
      <c r="G126" s="68">
        <v>5</v>
      </c>
      <c r="H126" s="68" t="s">
        <v>680</v>
      </c>
      <c r="I126" s="68" t="s">
        <v>682</v>
      </c>
      <c r="J126" s="154" t="s">
        <v>685</v>
      </c>
      <c r="K126" s="73"/>
      <c r="L126" s="101">
        <v>1490</v>
      </c>
      <c r="M126" s="101"/>
      <c r="N126" s="101">
        <f t="shared" si="11"/>
        <v>7450</v>
      </c>
      <c r="O126" s="68"/>
      <c r="P126" s="68"/>
      <c r="Q126" s="68"/>
      <c r="R126" s="68"/>
      <c r="S126" s="68"/>
    </row>
    <row r="127" spans="1:89" ht="30" customHeight="1" x14ac:dyDescent="0.35">
      <c r="A127" s="85"/>
      <c r="B127" s="74" t="s">
        <v>322</v>
      </c>
      <c r="C127" s="68" t="s">
        <v>313</v>
      </c>
      <c r="D127" s="150"/>
      <c r="E127" s="150"/>
      <c r="F127" s="150"/>
      <c r="G127" s="68">
        <v>5</v>
      </c>
      <c r="H127" s="68" t="s">
        <v>680</v>
      </c>
      <c r="I127" s="68" t="s">
        <v>682</v>
      </c>
      <c r="J127" s="154" t="s">
        <v>684</v>
      </c>
      <c r="K127" s="73"/>
      <c r="L127" s="101">
        <v>129.99</v>
      </c>
      <c r="M127" s="73"/>
      <c r="N127" s="101">
        <f t="shared" si="11"/>
        <v>649.95000000000005</v>
      </c>
      <c r="O127" s="68"/>
      <c r="P127" s="68"/>
      <c r="Q127" s="68"/>
      <c r="R127" s="68"/>
      <c r="S127" s="68"/>
    </row>
    <row r="128" spans="1:89" ht="30" customHeight="1" x14ac:dyDescent="0.35">
      <c r="A128" s="85"/>
      <c r="B128" s="74" t="s">
        <v>322</v>
      </c>
      <c r="C128" s="68" t="s">
        <v>313</v>
      </c>
      <c r="D128" s="150"/>
      <c r="E128" s="150"/>
      <c r="F128" s="150" t="s">
        <v>681</v>
      </c>
      <c r="G128" s="68">
        <v>8</v>
      </c>
      <c r="H128" s="68" t="s">
        <v>680</v>
      </c>
      <c r="I128" s="68" t="s">
        <v>682</v>
      </c>
      <c r="J128" s="154" t="s">
        <v>683</v>
      </c>
      <c r="K128" s="73"/>
      <c r="L128" s="101">
        <v>84.9</v>
      </c>
      <c r="M128" s="73"/>
      <c r="N128" s="101">
        <f t="shared" si="11"/>
        <v>679.2</v>
      </c>
      <c r="O128" s="68"/>
      <c r="P128" s="68"/>
      <c r="Q128" s="68"/>
      <c r="R128" s="68"/>
      <c r="S128" s="68"/>
    </row>
    <row r="129" spans="1:19" ht="30" customHeight="1" x14ac:dyDescent="0.35">
      <c r="A129" s="85" t="s">
        <v>339</v>
      </c>
      <c r="B129" s="74" t="s">
        <v>322</v>
      </c>
      <c r="C129" s="68" t="s">
        <v>313</v>
      </c>
      <c r="D129" s="68" t="s">
        <v>208</v>
      </c>
      <c r="E129" s="68"/>
      <c r="F129" s="93" t="s">
        <v>687</v>
      </c>
      <c r="G129" s="93">
        <v>4</v>
      </c>
      <c r="H129" s="93"/>
      <c r="I129" s="93" t="s">
        <v>356</v>
      </c>
      <c r="J129" s="162" t="s">
        <v>686</v>
      </c>
      <c r="K129" s="99">
        <v>332.76</v>
      </c>
      <c r="L129" s="99">
        <v>395.98</v>
      </c>
      <c r="M129" s="101"/>
      <c r="N129" s="101">
        <f t="shared" si="11"/>
        <v>1583.92</v>
      </c>
      <c r="O129" s="68"/>
      <c r="P129" s="68"/>
      <c r="Q129" s="68"/>
      <c r="R129" s="68"/>
      <c r="S129" s="68"/>
    </row>
    <row r="130" spans="1:19" ht="30" customHeight="1" x14ac:dyDescent="0.35">
      <c r="A130" s="85"/>
      <c r="B130" s="74" t="s">
        <v>322</v>
      </c>
      <c r="C130" s="68" t="s">
        <v>313</v>
      </c>
      <c r="D130" s="68" t="s">
        <v>208</v>
      </c>
      <c r="E130" s="68"/>
      <c r="F130" s="93" t="s">
        <v>688</v>
      </c>
      <c r="G130" s="93">
        <v>4</v>
      </c>
      <c r="H130" s="93"/>
      <c r="I130" s="93" t="s">
        <v>356</v>
      </c>
      <c r="J130" s="162" t="s">
        <v>689</v>
      </c>
      <c r="K130" s="99">
        <v>82.35</v>
      </c>
      <c r="L130" s="99">
        <v>98</v>
      </c>
      <c r="M130" s="73"/>
      <c r="N130" s="101">
        <f t="shared" si="11"/>
        <v>392</v>
      </c>
      <c r="O130" s="68"/>
      <c r="P130" s="68"/>
      <c r="Q130" s="68"/>
      <c r="R130" s="68"/>
      <c r="S130" s="68"/>
    </row>
    <row r="131" spans="1:19" ht="30" customHeight="1" x14ac:dyDescent="0.35">
      <c r="A131" s="85" t="s">
        <v>340</v>
      </c>
      <c r="B131" s="74" t="s">
        <v>322</v>
      </c>
      <c r="C131" s="68" t="s">
        <v>313</v>
      </c>
      <c r="D131" s="150" t="s">
        <v>208</v>
      </c>
      <c r="E131" s="150"/>
      <c r="F131" s="150" t="s">
        <v>341</v>
      </c>
      <c r="G131" s="68">
        <v>10</v>
      </c>
      <c r="H131" s="69" t="s">
        <v>647</v>
      </c>
      <c r="I131" s="118"/>
      <c r="J131" s="154" t="s">
        <v>646</v>
      </c>
      <c r="K131" s="73"/>
      <c r="L131" s="129">
        <v>376.4</v>
      </c>
      <c r="M131" s="119"/>
      <c r="N131" s="129">
        <f t="shared" si="11"/>
        <v>3764</v>
      </c>
      <c r="O131" s="68"/>
      <c r="P131" s="68"/>
      <c r="Q131" s="68"/>
      <c r="R131" s="68"/>
      <c r="S131" s="68"/>
    </row>
    <row r="132" spans="1:19" ht="30" customHeight="1" x14ac:dyDescent="0.35">
      <c r="A132" s="85" t="s">
        <v>342</v>
      </c>
      <c r="B132" s="74" t="s">
        <v>322</v>
      </c>
      <c r="C132" s="68" t="s">
        <v>313</v>
      </c>
      <c r="D132" s="150" t="s">
        <v>208</v>
      </c>
      <c r="E132" s="150"/>
      <c r="F132" s="150" t="s">
        <v>672</v>
      </c>
      <c r="G132" s="68">
        <v>4</v>
      </c>
      <c r="H132" s="69"/>
      <c r="I132" s="118"/>
      <c r="J132" s="154" t="s">
        <v>673</v>
      </c>
      <c r="K132" s="73"/>
      <c r="L132" s="128">
        <v>203.33</v>
      </c>
      <c r="M132" s="119"/>
      <c r="N132" s="101">
        <f t="shared" si="11"/>
        <v>813.32</v>
      </c>
      <c r="O132" s="68"/>
      <c r="P132" s="68"/>
      <c r="Q132" s="68"/>
      <c r="R132" s="68"/>
      <c r="S132" s="68"/>
    </row>
    <row r="133" spans="1:19" ht="30" customHeight="1" x14ac:dyDescent="0.35">
      <c r="A133" s="85" t="s">
        <v>346</v>
      </c>
      <c r="B133" s="74" t="s">
        <v>322</v>
      </c>
      <c r="C133" s="68" t="s">
        <v>313</v>
      </c>
      <c r="D133" s="68" t="s">
        <v>710</v>
      </c>
      <c r="E133" s="68"/>
      <c r="F133" s="68" t="s">
        <v>344</v>
      </c>
      <c r="G133" s="68">
        <v>1</v>
      </c>
      <c r="H133" s="68"/>
      <c r="I133" s="68" t="s">
        <v>345</v>
      </c>
      <c r="J133" s="157"/>
      <c r="K133" s="73"/>
      <c r="L133" s="101">
        <v>3500</v>
      </c>
      <c r="M133" s="73"/>
      <c r="N133" s="101">
        <f t="shared" si="11"/>
        <v>3500</v>
      </c>
      <c r="O133" s="68"/>
      <c r="P133" s="68"/>
      <c r="Q133" s="68"/>
      <c r="R133" s="68"/>
      <c r="S133" s="68"/>
    </row>
    <row r="134" spans="1:19" ht="30" customHeight="1" x14ac:dyDescent="0.35">
      <c r="A134" s="85" t="s">
        <v>348</v>
      </c>
      <c r="B134" s="74" t="s">
        <v>322</v>
      </c>
      <c r="C134" s="68" t="s">
        <v>313</v>
      </c>
      <c r="D134" s="68" t="s">
        <v>343</v>
      </c>
      <c r="E134" s="68"/>
      <c r="F134" s="68" t="s">
        <v>347</v>
      </c>
      <c r="G134" s="68">
        <v>2</v>
      </c>
      <c r="H134" s="68" t="s">
        <v>678</v>
      </c>
      <c r="I134" s="68" t="s">
        <v>82</v>
      </c>
      <c r="J134" s="154" t="s">
        <v>679</v>
      </c>
      <c r="K134" s="73"/>
      <c r="L134" s="101">
        <v>1099.99</v>
      </c>
      <c r="M134" s="73"/>
      <c r="N134" s="101">
        <f t="shared" si="11"/>
        <v>2199.98</v>
      </c>
      <c r="O134" s="68"/>
      <c r="P134" s="68"/>
      <c r="Q134" s="68"/>
      <c r="R134" s="68"/>
      <c r="S134" s="68"/>
    </row>
    <row r="135" spans="1:19" ht="30" customHeight="1" x14ac:dyDescent="0.35">
      <c r="A135" s="85" t="s">
        <v>350</v>
      </c>
      <c r="B135" s="74" t="s">
        <v>322</v>
      </c>
      <c r="C135" s="68" t="s">
        <v>313</v>
      </c>
      <c r="D135" s="68"/>
      <c r="E135" s="68"/>
      <c r="F135" s="68" t="s">
        <v>349</v>
      </c>
      <c r="G135" s="68">
        <v>1</v>
      </c>
      <c r="H135" s="68"/>
      <c r="I135" s="68"/>
      <c r="J135" s="154" t="s">
        <v>600</v>
      </c>
      <c r="K135" s="73"/>
      <c r="L135" s="101">
        <v>4000</v>
      </c>
      <c r="M135" s="73"/>
      <c r="N135" s="101">
        <f t="shared" si="11"/>
        <v>4000</v>
      </c>
      <c r="O135" s="68"/>
      <c r="P135" s="68"/>
      <c r="Q135" s="68"/>
      <c r="R135" s="68"/>
      <c r="S135" s="68"/>
    </row>
    <row r="136" spans="1:19" ht="30" customHeight="1" x14ac:dyDescent="0.35">
      <c r="A136" s="85"/>
      <c r="B136" s="74" t="s">
        <v>322</v>
      </c>
      <c r="C136" s="68" t="s">
        <v>313</v>
      </c>
      <c r="D136" s="68"/>
      <c r="E136" s="68"/>
      <c r="F136" s="68" t="s">
        <v>676</v>
      </c>
      <c r="G136" s="68">
        <v>1</v>
      </c>
      <c r="H136" s="68" t="s">
        <v>675</v>
      </c>
      <c r="I136" s="68"/>
      <c r="J136" s="154" t="s">
        <v>677</v>
      </c>
      <c r="K136" s="73"/>
      <c r="L136" s="101">
        <v>148.22999999999999</v>
      </c>
      <c r="M136" s="73"/>
      <c r="N136" s="101">
        <f t="shared" si="11"/>
        <v>148.22999999999999</v>
      </c>
      <c r="O136" s="68"/>
      <c r="P136" s="68"/>
      <c r="Q136" s="68"/>
      <c r="R136" s="68"/>
      <c r="S136" s="68"/>
    </row>
    <row r="137" spans="1:19" ht="30" customHeight="1" x14ac:dyDescent="0.35">
      <c r="A137" s="85" t="s">
        <v>652</v>
      </c>
      <c r="B137" s="74" t="s">
        <v>322</v>
      </c>
      <c r="C137" s="68" t="s">
        <v>93</v>
      </c>
      <c r="D137" s="69" t="s">
        <v>586</v>
      </c>
      <c r="E137" s="69"/>
      <c r="F137" s="69" t="s">
        <v>653</v>
      </c>
      <c r="G137" s="68"/>
      <c r="H137" s="68"/>
      <c r="I137" s="68"/>
      <c r="J137" s="154"/>
      <c r="K137" s="73"/>
      <c r="L137" s="101"/>
      <c r="M137" s="73"/>
      <c r="N137" s="101"/>
      <c r="O137" s="68"/>
      <c r="P137" s="68"/>
      <c r="Q137" s="68"/>
      <c r="R137" s="68"/>
      <c r="S137" s="68"/>
    </row>
    <row r="138" spans="1:19" ht="30" customHeight="1" outlineLevel="1" x14ac:dyDescent="0.35">
      <c r="A138" s="85"/>
      <c r="B138" s="74" t="s">
        <v>322</v>
      </c>
      <c r="C138" s="68"/>
      <c r="D138" s="68"/>
      <c r="E138" s="68"/>
      <c r="F138" s="69" t="s">
        <v>656</v>
      </c>
      <c r="G138" s="122">
        <v>1</v>
      </c>
      <c r="H138" s="68" t="s">
        <v>665</v>
      </c>
      <c r="I138" s="69" t="s">
        <v>503</v>
      </c>
      <c r="J138" s="154" t="s">
        <v>655</v>
      </c>
      <c r="K138" s="73"/>
      <c r="L138" s="120">
        <v>99.95</v>
      </c>
      <c r="M138" s="120"/>
      <c r="N138" s="120">
        <f>G138*L138</f>
        <v>99.95</v>
      </c>
      <c r="O138" s="68"/>
      <c r="P138" s="68"/>
      <c r="Q138" s="68"/>
      <c r="R138" s="68"/>
      <c r="S138" s="68"/>
    </row>
    <row r="139" spans="1:19" ht="30" customHeight="1" outlineLevel="1" x14ac:dyDescent="0.35">
      <c r="A139" s="85"/>
      <c r="B139" s="74" t="s">
        <v>322</v>
      </c>
      <c r="C139" s="68"/>
      <c r="D139" s="68"/>
      <c r="E139" s="68"/>
      <c r="F139" s="69" t="s">
        <v>657</v>
      </c>
      <c r="G139" s="113">
        <v>1</v>
      </c>
      <c r="H139" s="68" t="s">
        <v>667</v>
      </c>
      <c r="I139" s="69" t="s">
        <v>503</v>
      </c>
      <c r="J139" s="154" t="s">
        <v>658</v>
      </c>
      <c r="K139" s="73"/>
      <c r="L139" s="121">
        <v>149.99</v>
      </c>
      <c r="M139" s="121"/>
      <c r="N139" s="120">
        <f t="shared" ref="N139:N144" si="12">G139*L139</f>
        <v>149.99</v>
      </c>
      <c r="O139" s="68"/>
      <c r="P139" s="68"/>
      <c r="Q139" s="68"/>
      <c r="R139" s="68"/>
      <c r="S139" s="68"/>
    </row>
    <row r="140" spans="1:19" ht="30" customHeight="1" outlineLevel="1" x14ac:dyDescent="0.35">
      <c r="A140" s="85"/>
      <c r="B140" s="74" t="s">
        <v>322</v>
      </c>
      <c r="C140" s="68"/>
      <c r="D140" s="68"/>
      <c r="E140" s="68"/>
      <c r="F140" s="69" t="s">
        <v>668</v>
      </c>
      <c r="G140" s="113">
        <v>1</v>
      </c>
      <c r="H140" s="68" t="s">
        <v>666</v>
      </c>
      <c r="I140" s="69" t="s">
        <v>503</v>
      </c>
      <c r="J140" s="154" t="s">
        <v>659</v>
      </c>
      <c r="K140" s="73"/>
      <c r="L140" s="120">
        <v>15.9</v>
      </c>
      <c r="M140" s="121"/>
      <c r="N140" s="120">
        <f t="shared" si="12"/>
        <v>15.9</v>
      </c>
      <c r="O140" s="68"/>
      <c r="P140" s="68"/>
      <c r="Q140" s="68"/>
      <c r="R140" s="68"/>
      <c r="S140" s="68"/>
    </row>
    <row r="141" spans="1:19" ht="30" customHeight="1" outlineLevel="1" x14ac:dyDescent="0.35">
      <c r="A141" s="85"/>
      <c r="B141" s="74" t="s">
        <v>322</v>
      </c>
      <c r="C141" s="68"/>
      <c r="D141" s="68"/>
      <c r="E141" s="68"/>
      <c r="F141" s="69" t="s">
        <v>669</v>
      </c>
      <c r="G141" s="113">
        <v>10</v>
      </c>
      <c r="H141" s="68"/>
      <c r="I141" s="69" t="s">
        <v>503</v>
      </c>
      <c r="J141" s="154" t="s">
        <v>660</v>
      </c>
      <c r="K141" s="73"/>
      <c r="L141" s="120">
        <v>2.0299999999999998</v>
      </c>
      <c r="M141" s="121"/>
      <c r="N141" s="120">
        <f t="shared" si="12"/>
        <v>20.299999999999997</v>
      </c>
      <c r="O141" s="68"/>
      <c r="P141" s="68"/>
      <c r="Q141" s="68"/>
      <c r="R141" s="68"/>
      <c r="S141" s="68"/>
    </row>
    <row r="142" spans="1:19" ht="30" customHeight="1" outlineLevel="1" x14ac:dyDescent="0.35">
      <c r="A142" s="85"/>
      <c r="B142" s="74" t="s">
        <v>322</v>
      </c>
      <c r="C142" s="68"/>
      <c r="D142" s="68"/>
      <c r="E142" s="68"/>
      <c r="F142" s="69" t="s">
        <v>670</v>
      </c>
      <c r="G142" s="113">
        <v>10</v>
      </c>
      <c r="H142" s="68"/>
      <c r="I142" s="69" t="s">
        <v>503</v>
      </c>
      <c r="J142" s="154" t="s">
        <v>661</v>
      </c>
      <c r="K142" s="73"/>
      <c r="L142" s="120">
        <v>0.9</v>
      </c>
      <c r="M142" s="121"/>
      <c r="N142" s="120">
        <f t="shared" si="12"/>
        <v>9</v>
      </c>
      <c r="O142" s="68"/>
      <c r="P142" s="68"/>
      <c r="Q142" s="68"/>
      <c r="R142" s="68"/>
      <c r="S142" s="68"/>
    </row>
    <row r="143" spans="1:19" ht="30" customHeight="1" outlineLevel="1" x14ac:dyDescent="0.35">
      <c r="A143" s="85"/>
      <c r="B143" s="74" t="s">
        <v>322</v>
      </c>
      <c r="C143" s="68"/>
      <c r="D143" s="68"/>
      <c r="E143" s="68"/>
      <c r="F143" s="69" t="s">
        <v>671</v>
      </c>
      <c r="G143" s="113">
        <v>3</v>
      </c>
      <c r="H143" s="68" t="s">
        <v>665</v>
      </c>
      <c r="I143" s="69" t="s">
        <v>503</v>
      </c>
      <c r="J143" s="154" t="s">
        <v>662</v>
      </c>
      <c r="K143" s="73"/>
      <c r="L143" s="120">
        <v>10.95</v>
      </c>
      <c r="M143" s="120"/>
      <c r="N143" s="120">
        <f t="shared" si="12"/>
        <v>32.849999999999994</v>
      </c>
      <c r="O143" s="68"/>
      <c r="P143" s="68"/>
      <c r="Q143" s="68"/>
      <c r="R143" s="68"/>
      <c r="S143" s="68"/>
    </row>
    <row r="144" spans="1:19" ht="30" customHeight="1" outlineLevel="1" x14ac:dyDescent="0.35">
      <c r="A144" s="85"/>
      <c r="B144" s="74" t="s">
        <v>322</v>
      </c>
      <c r="C144" s="68"/>
      <c r="D144" s="68"/>
      <c r="E144" s="68"/>
      <c r="F144" s="69" t="s">
        <v>654</v>
      </c>
      <c r="G144" s="113">
        <v>1</v>
      </c>
      <c r="H144" s="68" t="s">
        <v>664</v>
      </c>
      <c r="I144" s="69" t="s">
        <v>503</v>
      </c>
      <c r="J144" s="154" t="s">
        <v>663</v>
      </c>
      <c r="K144" s="73"/>
      <c r="L144" s="73">
        <v>14.95</v>
      </c>
      <c r="M144" s="73"/>
      <c r="N144" s="120">
        <f t="shared" si="12"/>
        <v>14.95</v>
      </c>
      <c r="O144" s="68"/>
      <c r="P144" s="68"/>
      <c r="Q144" s="68"/>
      <c r="R144" s="68"/>
      <c r="S144" s="68"/>
    </row>
    <row r="145" spans="1:19" ht="30" customHeight="1" x14ac:dyDescent="0.35">
      <c r="A145" s="85" t="s">
        <v>674</v>
      </c>
      <c r="B145" s="74" t="s">
        <v>322</v>
      </c>
      <c r="C145" s="68" t="s">
        <v>313</v>
      </c>
      <c r="D145" s="151" t="s">
        <v>596</v>
      </c>
      <c r="E145" s="68"/>
      <c r="F145" s="68" t="s">
        <v>351</v>
      </c>
      <c r="G145" s="113">
        <v>1</v>
      </c>
      <c r="H145" s="68"/>
      <c r="I145" s="68" t="s">
        <v>597</v>
      </c>
      <c r="J145" s="157"/>
      <c r="K145" s="73">
        <v>3086.13</v>
      </c>
      <c r="L145" s="101">
        <v>3672.49</v>
      </c>
      <c r="M145" s="73"/>
      <c r="N145" s="101">
        <f t="shared" si="11"/>
        <v>3672.49</v>
      </c>
      <c r="O145" s="68"/>
      <c r="P145" s="68"/>
      <c r="Q145" s="68"/>
      <c r="R145" s="68"/>
      <c r="S145" s="68"/>
    </row>
    <row r="146" spans="1:19" s="65" customFormat="1" ht="30" customHeight="1" thickBot="1" x14ac:dyDescent="0.5">
      <c r="A146" s="85"/>
      <c r="B146" s="74" t="s">
        <v>322</v>
      </c>
      <c r="C146" s="68"/>
      <c r="D146" s="68"/>
      <c r="E146" s="68"/>
      <c r="F146" s="68"/>
      <c r="G146" s="68"/>
      <c r="H146" s="68"/>
      <c r="I146" s="68"/>
      <c r="J146" s="157"/>
      <c r="K146" s="73"/>
      <c r="L146" s="140" t="s">
        <v>701</v>
      </c>
      <c r="M146" s="95">
        <f>N146/1.19</f>
        <v>40588.722689075636</v>
      </c>
      <c r="N146" s="86">
        <f>SUM(N116:N145)</f>
        <v>48300.58</v>
      </c>
      <c r="O146" s="68"/>
      <c r="P146" s="68"/>
      <c r="Q146" s="68"/>
      <c r="R146" s="68"/>
      <c r="S146" s="68"/>
    </row>
    <row r="147" spans="1:19" ht="15" customHeight="1" x14ac:dyDescent="0.35">
      <c r="A147" s="85" t="s">
        <v>637</v>
      </c>
      <c r="B147" s="74" t="s">
        <v>352</v>
      </c>
      <c r="C147" s="68" t="s">
        <v>93</v>
      </c>
      <c r="D147" s="141" t="s">
        <v>586</v>
      </c>
      <c r="E147" s="141" t="s">
        <v>292</v>
      </c>
      <c r="F147" s="141" t="s">
        <v>704</v>
      </c>
      <c r="G147" s="68">
        <v>2</v>
      </c>
      <c r="H147" s="68"/>
      <c r="I147" s="69" t="s">
        <v>698</v>
      </c>
      <c r="J147" s="157"/>
      <c r="K147" s="73"/>
      <c r="L147" s="139">
        <v>400</v>
      </c>
      <c r="M147" s="73"/>
      <c r="N147" s="129">
        <f t="shared" ref="N147:N182" si="13">SUM(G147*L147)</f>
        <v>800</v>
      </c>
      <c r="O147" s="68"/>
      <c r="P147" s="68"/>
      <c r="Q147" s="68"/>
      <c r="R147" s="68"/>
      <c r="S147" s="68"/>
    </row>
    <row r="148" spans="1:19" ht="15" customHeight="1" x14ac:dyDescent="0.35">
      <c r="A148" s="85" t="s">
        <v>638</v>
      </c>
      <c r="B148" s="74" t="s">
        <v>352</v>
      </c>
      <c r="C148" s="68" t="s">
        <v>93</v>
      </c>
      <c r="D148" s="68" t="s">
        <v>454</v>
      </c>
      <c r="E148" s="68"/>
      <c r="F148" s="68" t="s">
        <v>601</v>
      </c>
      <c r="G148" s="68">
        <v>20</v>
      </c>
      <c r="H148" s="68"/>
      <c r="I148" s="68" t="s">
        <v>602</v>
      </c>
      <c r="J148" s="163" t="s">
        <v>603</v>
      </c>
      <c r="K148" s="73"/>
      <c r="L148" s="129"/>
      <c r="M148" s="73">
        <v>6547</v>
      </c>
      <c r="N148" s="129">
        <v>7790.93</v>
      </c>
      <c r="O148" s="68"/>
      <c r="P148" s="68"/>
      <c r="Q148" s="68"/>
      <c r="R148" s="68"/>
      <c r="S148" s="68"/>
    </row>
    <row r="149" spans="1:19" ht="15" customHeight="1" x14ac:dyDescent="0.35">
      <c r="A149" s="85" t="s">
        <v>639</v>
      </c>
      <c r="B149" s="74" t="s">
        <v>352</v>
      </c>
      <c r="C149" s="68" t="s">
        <v>315</v>
      </c>
      <c r="D149" s="68" t="s">
        <v>208</v>
      </c>
      <c r="E149" s="68"/>
      <c r="F149" s="68" t="s">
        <v>355</v>
      </c>
      <c r="G149" s="68">
        <v>8</v>
      </c>
      <c r="H149" s="68" t="s">
        <v>356</v>
      </c>
      <c r="I149" s="68" t="s">
        <v>356</v>
      </c>
      <c r="J149" s="154" t="s">
        <v>357</v>
      </c>
      <c r="K149" s="73">
        <v>99.99</v>
      </c>
      <c r="L149" s="129">
        <v>188.99</v>
      </c>
      <c r="M149" s="73"/>
      <c r="N149" s="129">
        <f t="shared" si="13"/>
        <v>1511.92</v>
      </c>
      <c r="O149" s="68"/>
      <c r="P149" s="68"/>
      <c r="Q149" s="68"/>
      <c r="R149" s="68"/>
      <c r="S149" s="68"/>
    </row>
    <row r="150" spans="1:19" ht="15" customHeight="1" x14ac:dyDescent="0.35">
      <c r="A150" s="85" t="s">
        <v>640</v>
      </c>
      <c r="B150" s="74" t="s">
        <v>352</v>
      </c>
      <c r="C150" s="68" t="s">
        <v>93</v>
      </c>
      <c r="D150" s="69" t="s">
        <v>586</v>
      </c>
      <c r="E150" s="69" t="s">
        <v>580</v>
      </c>
      <c r="F150" s="69" t="s">
        <v>629</v>
      </c>
      <c r="G150" s="68">
        <v>1</v>
      </c>
      <c r="H150" s="68" t="s">
        <v>358</v>
      </c>
      <c r="I150" s="68" t="s">
        <v>359</v>
      </c>
      <c r="J150" s="154" t="s">
        <v>360</v>
      </c>
      <c r="K150" s="73"/>
      <c r="L150" s="129">
        <v>1919.64</v>
      </c>
      <c r="M150" s="73"/>
      <c r="N150" s="129">
        <f t="shared" si="13"/>
        <v>1919.64</v>
      </c>
      <c r="O150" s="68"/>
      <c r="P150" s="68"/>
      <c r="Q150" s="68"/>
      <c r="R150" s="68"/>
      <c r="S150" s="68"/>
    </row>
    <row r="151" spans="1:19" ht="15" customHeight="1" x14ac:dyDescent="0.35">
      <c r="A151" s="85" t="s">
        <v>641</v>
      </c>
      <c r="B151" s="74" t="s">
        <v>352</v>
      </c>
      <c r="C151" s="68" t="s">
        <v>93</v>
      </c>
      <c r="D151" s="68" t="s">
        <v>170</v>
      </c>
      <c r="E151" s="68" t="s">
        <v>33</v>
      </c>
      <c r="F151" s="68" t="s">
        <v>361</v>
      </c>
      <c r="G151" s="68">
        <v>1</v>
      </c>
      <c r="H151" s="68" t="s">
        <v>362</v>
      </c>
      <c r="I151" s="69" t="s">
        <v>363</v>
      </c>
      <c r="J151" s="158" t="s">
        <v>364</v>
      </c>
      <c r="K151" s="101"/>
      <c r="L151" s="129">
        <v>2102.25</v>
      </c>
      <c r="M151" s="73"/>
      <c r="N151" s="129">
        <f t="shared" si="13"/>
        <v>2102.25</v>
      </c>
      <c r="O151" s="68"/>
      <c r="P151" s="68"/>
      <c r="Q151" s="68"/>
      <c r="R151" s="68"/>
      <c r="S151" s="68"/>
    </row>
    <row r="152" spans="1:19" ht="15" customHeight="1" x14ac:dyDescent="0.35">
      <c r="A152" s="85" t="s">
        <v>551</v>
      </c>
      <c r="B152" s="74" t="s">
        <v>352</v>
      </c>
      <c r="C152" s="68" t="s">
        <v>93</v>
      </c>
      <c r="D152" s="68" t="s">
        <v>586</v>
      </c>
      <c r="E152" s="69" t="s">
        <v>564</v>
      </c>
      <c r="F152" s="69" t="s">
        <v>365</v>
      </c>
      <c r="G152" s="69"/>
      <c r="H152" s="68"/>
      <c r="I152" s="68" t="s">
        <v>366</v>
      </c>
      <c r="J152" s="154"/>
      <c r="K152" s="73"/>
      <c r="L152" s="129"/>
      <c r="M152" s="73"/>
      <c r="N152" s="129">
        <v>4192.1000000000004</v>
      </c>
      <c r="O152" s="68"/>
      <c r="P152" s="68"/>
      <c r="Q152" s="68"/>
      <c r="R152" s="68"/>
      <c r="S152" s="68"/>
    </row>
    <row r="153" spans="1:19" ht="15" customHeight="1" outlineLevel="1" x14ac:dyDescent="0.35">
      <c r="A153" s="85"/>
      <c r="B153" s="74" t="s">
        <v>352</v>
      </c>
      <c r="C153" s="68"/>
      <c r="D153" s="68"/>
      <c r="E153" s="69"/>
      <c r="F153" s="68" t="s">
        <v>614</v>
      </c>
      <c r="G153" s="68">
        <v>2</v>
      </c>
      <c r="H153" s="68"/>
      <c r="I153" s="68" t="s">
        <v>366</v>
      </c>
      <c r="J153" s="154"/>
      <c r="K153" s="73"/>
      <c r="L153" s="129">
        <v>429</v>
      </c>
      <c r="M153" s="73"/>
      <c r="N153" s="129"/>
      <c r="O153" s="68"/>
      <c r="P153" s="68"/>
      <c r="Q153" s="68"/>
      <c r="R153" s="68"/>
      <c r="S153" s="68"/>
    </row>
    <row r="154" spans="1:19" ht="15" customHeight="1" outlineLevel="1" x14ac:dyDescent="0.35">
      <c r="A154" s="85"/>
      <c r="B154" s="74" t="s">
        <v>352</v>
      </c>
      <c r="C154" s="68"/>
      <c r="D154" s="68"/>
      <c r="E154" s="69"/>
      <c r="F154" s="68" t="s">
        <v>615</v>
      </c>
      <c r="G154" s="68">
        <v>2</v>
      </c>
      <c r="H154" s="68"/>
      <c r="I154" s="68" t="s">
        <v>366</v>
      </c>
      <c r="J154" s="154"/>
      <c r="K154" s="73"/>
      <c r="L154" s="129">
        <v>499</v>
      </c>
      <c r="M154" s="73"/>
      <c r="N154" s="129"/>
      <c r="O154" s="68"/>
      <c r="P154" s="68"/>
      <c r="Q154" s="68"/>
      <c r="R154" s="68"/>
      <c r="S154" s="68"/>
    </row>
    <row r="155" spans="1:19" ht="15" customHeight="1" outlineLevel="1" x14ac:dyDescent="0.35">
      <c r="A155" s="85"/>
      <c r="B155" s="74" t="s">
        <v>352</v>
      </c>
      <c r="C155" s="68"/>
      <c r="D155" s="68"/>
      <c r="E155" s="69"/>
      <c r="F155" s="68" t="s">
        <v>616</v>
      </c>
      <c r="G155" s="68">
        <v>4</v>
      </c>
      <c r="H155" s="68"/>
      <c r="I155" s="68" t="s">
        <v>366</v>
      </c>
      <c r="J155" s="154"/>
      <c r="K155" s="73"/>
      <c r="L155" s="129">
        <v>45</v>
      </c>
      <c r="M155" s="73"/>
      <c r="N155" s="129"/>
      <c r="O155" s="68"/>
      <c r="P155" s="68"/>
      <c r="Q155" s="68"/>
      <c r="R155" s="68"/>
      <c r="S155" s="68"/>
    </row>
    <row r="156" spans="1:19" ht="15" customHeight="1" outlineLevel="1" x14ac:dyDescent="0.35">
      <c r="A156" s="85"/>
      <c r="B156" s="74" t="s">
        <v>352</v>
      </c>
      <c r="C156" s="68"/>
      <c r="D156" s="68"/>
      <c r="E156" s="69"/>
      <c r="F156" s="68" t="s">
        <v>617</v>
      </c>
      <c r="G156" s="68">
        <v>2</v>
      </c>
      <c r="H156" s="68"/>
      <c r="I156" s="68" t="s">
        <v>366</v>
      </c>
      <c r="J156" s="154"/>
      <c r="K156" s="73"/>
      <c r="L156" s="129">
        <v>289</v>
      </c>
      <c r="M156" s="73"/>
      <c r="N156" s="129"/>
      <c r="O156" s="68"/>
      <c r="P156" s="68"/>
      <c r="Q156" s="68"/>
      <c r="R156" s="68"/>
      <c r="S156" s="68"/>
    </row>
    <row r="157" spans="1:19" ht="15" customHeight="1" outlineLevel="1" x14ac:dyDescent="0.35">
      <c r="A157" s="85"/>
      <c r="B157" s="74" t="s">
        <v>352</v>
      </c>
      <c r="C157" s="68"/>
      <c r="D157" s="68"/>
      <c r="E157" s="69"/>
      <c r="F157" s="68" t="s">
        <v>618</v>
      </c>
      <c r="G157" s="68">
        <v>1</v>
      </c>
      <c r="H157" s="68"/>
      <c r="I157" s="68" t="s">
        <v>366</v>
      </c>
      <c r="J157" s="154"/>
      <c r="K157" s="73"/>
      <c r="L157" s="129">
        <v>359</v>
      </c>
      <c r="M157" s="73"/>
      <c r="N157" s="129"/>
      <c r="O157" s="68"/>
      <c r="P157" s="68"/>
      <c r="Q157" s="68"/>
      <c r="R157" s="68"/>
      <c r="S157" s="68"/>
    </row>
    <row r="158" spans="1:19" ht="15" customHeight="1" outlineLevel="1" x14ac:dyDescent="0.35">
      <c r="A158" s="85"/>
      <c r="B158" s="74" t="s">
        <v>352</v>
      </c>
      <c r="C158" s="68"/>
      <c r="D158" s="68"/>
      <c r="E158" s="69"/>
      <c r="F158" s="68" t="s">
        <v>619</v>
      </c>
      <c r="G158" s="68">
        <v>1</v>
      </c>
      <c r="H158" s="68"/>
      <c r="I158" s="68" t="s">
        <v>366</v>
      </c>
      <c r="J158" s="154"/>
      <c r="K158" s="73"/>
      <c r="L158" s="129">
        <v>45</v>
      </c>
      <c r="M158" s="73"/>
      <c r="N158" s="129"/>
      <c r="O158" s="68"/>
      <c r="P158" s="68"/>
      <c r="Q158" s="68"/>
      <c r="R158" s="68"/>
      <c r="S158" s="68"/>
    </row>
    <row r="159" spans="1:19" ht="15" customHeight="1" outlineLevel="1" x14ac:dyDescent="0.35">
      <c r="A159" s="85"/>
      <c r="B159" s="74" t="s">
        <v>352</v>
      </c>
      <c r="C159" s="68"/>
      <c r="D159" s="68"/>
      <c r="E159" s="69"/>
      <c r="F159" s="68" t="s">
        <v>620</v>
      </c>
      <c r="G159" s="68">
        <v>1</v>
      </c>
      <c r="H159" s="68"/>
      <c r="I159" s="68" t="s">
        <v>366</v>
      </c>
      <c r="J159" s="154"/>
      <c r="K159" s="73"/>
      <c r="L159" s="129">
        <v>22.9</v>
      </c>
      <c r="M159" s="73"/>
      <c r="N159" s="129"/>
      <c r="O159" s="68"/>
      <c r="P159" s="68"/>
      <c r="Q159" s="68"/>
      <c r="R159" s="68"/>
      <c r="S159" s="68"/>
    </row>
    <row r="160" spans="1:19" ht="15" customHeight="1" outlineLevel="1" x14ac:dyDescent="0.35">
      <c r="A160" s="85"/>
      <c r="B160" s="74" t="s">
        <v>352</v>
      </c>
      <c r="C160" s="68"/>
      <c r="D160" s="68"/>
      <c r="E160" s="69"/>
      <c r="F160" s="68" t="s">
        <v>621</v>
      </c>
      <c r="G160" s="68">
        <v>1</v>
      </c>
      <c r="H160" s="68"/>
      <c r="I160" s="68" t="s">
        <v>366</v>
      </c>
      <c r="J160" s="154"/>
      <c r="K160" s="73"/>
      <c r="L160" s="129">
        <v>39</v>
      </c>
      <c r="M160" s="73"/>
      <c r="N160" s="129"/>
      <c r="O160" s="68"/>
      <c r="P160" s="68"/>
      <c r="Q160" s="68"/>
      <c r="R160" s="68"/>
      <c r="S160" s="68"/>
    </row>
    <row r="161" spans="1:19" ht="15" customHeight="1" outlineLevel="1" x14ac:dyDescent="0.35">
      <c r="A161" s="85"/>
      <c r="B161" s="74" t="s">
        <v>352</v>
      </c>
      <c r="C161" s="68"/>
      <c r="D161" s="68"/>
      <c r="E161" s="69"/>
      <c r="F161" s="68" t="s">
        <v>622</v>
      </c>
      <c r="G161" s="68">
        <v>8</v>
      </c>
      <c r="H161" s="68"/>
      <c r="I161" s="68" t="s">
        <v>366</v>
      </c>
      <c r="J161" s="154"/>
      <c r="K161" s="73"/>
      <c r="L161" s="129">
        <v>4.9000000000000004</v>
      </c>
      <c r="M161" s="73"/>
      <c r="N161" s="129"/>
      <c r="O161" s="68"/>
      <c r="P161" s="68"/>
      <c r="Q161" s="68"/>
      <c r="R161" s="68"/>
      <c r="S161" s="68"/>
    </row>
    <row r="162" spans="1:19" ht="15" customHeight="1" outlineLevel="1" x14ac:dyDescent="0.35">
      <c r="A162" s="85"/>
      <c r="B162" s="74" t="s">
        <v>352</v>
      </c>
      <c r="C162" s="68"/>
      <c r="D162" s="68"/>
      <c r="E162" s="69"/>
      <c r="F162" s="68" t="s">
        <v>623</v>
      </c>
      <c r="G162" s="68">
        <v>1</v>
      </c>
      <c r="H162" s="68"/>
      <c r="I162" s="68" t="s">
        <v>366</v>
      </c>
      <c r="J162" s="154"/>
      <c r="K162" s="73"/>
      <c r="L162" s="129">
        <v>659</v>
      </c>
      <c r="M162" s="73"/>
      <c r="N162" s="129"/>
      <c r="O162" s="68"/>
      <c r="P162" s="68"/>
      <c r="Q162" s="68"/>
      <c r="R162" s="68"/>
      <c r="S162" s="68"/>
    </row>
    <row r="163" spans="1:19" ht="15" customHeight="1" outlineLevel="1" x14ac:dyDescent="0.35">
      <c r="A163" s="85"/>
      <c r="B163" s="74" t="s">
        <v>352</v>
      </c>
      <c r="C163" s="68"/>
      <c r="D163" s="68"/>
      <c r="E163" s="69"/>
      <c r="F163" s="68" t="s">
        <v>624</v>
      </c>
      <c r="G163" s="68">
        <v>1</v>
      </c>
      <c r="H163" s="68"/>
      <c r="I163" s="68" t="s">
        <v>366</v>
      </c>
      <c r="J163" s="154"/>
      <c r="K163" s="73"/>
      <c r="L163" s="129">
        <v>298</v>
      </c>
      <c r="M163" s="73"/>
      <c r="N163" s="129"/>
      <c r="O163" s="68"/>
      <c r="P163" s="68"/>
      <c r="Q163" s="68"/>
      <c r="R163" s="68"/>
      <c r="S163" s="68"/>
    </row>
    <row r="164" spans="1:19" ht="15" customHeight="1" outlineLevel="1" x14ac:dyDescent="0.35">
      <c r="A164" s="85"/>
      <c r="B164" s="74" t="s">
        <v>352</v>
      </c>
      <c r="C164" s="68"/>
      <c r="D164" s="68"/>
      <c r="E164" s="69"/>
      <c r="F164" s="68" t="s">
        <v>625</v>
      </c>
      <c r="G164" s="68">
        <v>1</v>
      </c>
      <c r="H164" s="68"/>
      <c r="I164" s="68" t="s">
        <v>366</v>
      </c>
      <c r="J164" s="154"/>
      <c r="K164" s="73"/>
      <c r="L164" s="129">
        <v>52</v>
      </c>
      <c r="M164" s="73"/>
      <c r="N164" s="129"/>
      <c r="O164" s="68"/>
      <c r="P164" s="68"/>
      <c r="Q164" s="68"/>
      <c r="R164" s="68"/>
      <c r="S164" s="68"/>
    </row>
    <row r="165" spans="1:19" ht="15" customHeight="1" outlineLevel="1" x14ac:dyDescent="0.35">
      <c r="A165" s="85"/>
      <c r="B165" s="74" t="s">
        <v>352</v>
      </c>
      <c r="C165" s="68"/>
      <c r="D165" s="68"/>
      <c r="E165" s="69"/>
      <c r="F165" s="68" t="s">
        <v>626</v>
      </c>
      <c r="G165" s="68">
        <v>1</v>
      </c>
      <c r="H165" s="68"/>
      <c r="I165" s="68" t="s">
        <v>366</v>
      </c>
      <c r="J165" s="154"/>
      <c r="K165" s="73"/>
      <c r="L165" s="129">
        <v>20</v>
      </c>
      <c r="M165" s="73"/>
      <c r="N165" s="129"/>
      <c r="O165" s="68"/>
      <c r="P165" s="68"/>
      <c r="Q165" s="68"/>
      <c r="R165" s="68"/>
      <c r="S165" s="68"/>
    </row>
    <row r="166" spans="1:19" ht="15" customHeight="1" outlineLevel="1" x14ac:dyDescent="0.35">
      <c r="A166" s="85"/>
      <c r="B166" s="74" t="s">
        <v>352</v>
      </c>
      <c r="C166" s="68"/>
      <c r="D166" s="68"/>
      <c r="E166" s="69"/>
      <c r="F166" s="68" t="s">
        <v>627</v>
      </c>
      <c r="G166" s="68">
        <v>1</v>
      </c>
      <c r="H166" s="68"/>
      <c r="I166" s="68" t="s">
        <v>366</v>
      </c>
      <c r="J166" s="154"/>
      <c r="K166" s="73"/>
      <c r="L166" s="129">
        <v>20</v>
      </c>
      <c r="M166" s="73"/>
      <c r="N166" s="129"/>
      <c r="O166" s="68"/>
      <c r="P166" s="68"/>
      <c r="Q166" s="68"/>
      <c r="R166" s="68"/>
      <c r="S166" s="68"/>
    </row>
    <row r="167" spans="1:19" ht="15" customHeight="1" x14ac:dyDescent="0.35">
      <c r="A167" s="85" t="s">
        <v>367</v>
      </c>
      <c r="B167" s="74" t="s">
        <v>352</v>
      </c>
      <c r="C167" s="68" t="s">
        <v>93</v>
      </c>
      <c r="D167" s="68" t="s">
        <v>136</v>
      </c>
      <c r="E167" s="68" t="s">
        <v>137</v>
      </c>
      <c r="F167" s="68" t="s">
        <v>137</v>
      </c>
      <c r="G167" s="68">
        <v>2</v>
      </c>
      <c r="H167" s="68" t="s">
        <v>356</v>
      </c>
      <c r="I167" s="68" t="s">
        <v>356</v>
      </c>
      <c r="J167" s="154" t="s">
        <v>368</v>
      </c>
      <c r="K167" s="73"/>
      <c r="L167" s="129">
        <v>535</v>
      </c>
      <c r="M167" s="73"/>
      <c r="N167" s="129">
        <f t="shared" si="13"/>
        <v>1070</v>
      </c>
      <c r="O167" s="68"/>
      <c r="P167" s="68"/>
      <c r="Q167" s="68"/>
      <c r="R167" s="68"/>
      <c r="S167" s="68"/>
    </row>
    <row r="168" spans="1:19" ht="15" customHeight="1" x14ac:dyDescent="0.35">
      <c r="A168" s="85" t="s">
        <v>369</v>
      </c>
      <c r="B168" s="74" t="s">
        <v>352</v>
      </c>
      <c r="C168" s="68" t="s">
        <v>93</v>
      </c>
      <c r="D168" s="68" t="s">
        <v>188</v>
      </c>
      <c r="E168" s="68"/>
      <c r="F168" s="68" t="s">
        <v>370</v>
      </c>
      <c r="G168" s="68">
        <v>1</v>
      </c>
      <c r="H168" s="68" t="s">
        <v>371</v>
      </c>
      <c r="I168" s="68" t="s">
        <v>356</v>
      </c>
      <c r="J168" s="154" t="s">
        <v>372</v>
      </c>
      <c r="K168" s="73">
        <v>124.45</v>
      </c>
      <c r="L168" s="129">
        <v>148.1</v>
      </c>
      <c r="M168" s="73"/>
      <c r="N168" s="129">
        <f t="shared" si="13"/>
        <v>148.1</v>
      </c>
      <c r="O168" s="68"/>
      <c r="P168" s="68"/>
      <c r="Q168" s="68"/>
      <c r="R168" s="68"/>
      <c r="S168" s="68"/>
    </row>
    <row r="169" spans="1:19" ht="15" customHeight="1" x14ac:dyDescent="0.35">
      <c r="A169" s="85" t="s">
        <v>373</v>
      </c>
      <c r="B169" s="74" t="s">
        <v>352</v>
      </c>
      <c r="C169" s="68" t="s">
        <v>93</v>
      </c>
      <c r="D169" s="68" t="s">
        <v>188</v>
      </c>
      <c r="E169" s="68"/>
      <c r="F169" s="68" t="s">
        <v>374</v>
      </c>
      <c r="G169" s="68">
        <v>3</v>
      </c>
      <c r="H169" s="68" t="s">
        <v>356</v>
      </c>
      <c r="I169" s="68" t="s">
        <v>356</v>
      </c>
      <c r="J169" s="154" t="s">
        <v>375</v>
      </c>
      <c r="K169" s="73">
        <v>54.99</v>
      </c>
      <c r="L169" s="129">
        <v>65.44</v>
      </c>
      <c r="M169" s="73"/>
      <c r="N169" s="129">
        <f t="shared" si="13"/>
        <v>196.32</v>
      </c>
      <c r="O169" s="68"/>
      <c r="P169" s="68"/>
      <c r="Q169" s="68"/>
      <c r="R169" s="68"/>
      <c r="S169" s="68"/>
    </row>
    <row r="170" spans="1:19" ht="15" customHeight="1" x14ac:dyDescent="0.35">
      <c r="A170" s="85" t="s">
        <v>376</v>
      </c>
      <c r="B170" s="74" t="s">
        <v>352</v>
      </c>
      <c r="C170" s="68" t="s">
        <v>93</v>
      </c>
      <c r="D170" s="68" t="s">
        <v>343</v>
      </c>
      <c r="E170" s="68"/>
      <c r="F170" s="68" t="s">
        <v>377</v>
      </c>
      <c r="G170" s="68">
        <v>6</v>
      </c>
      <c r="H170" s="68" t="s">
        <v>378</v>
      </c>
      <c r="I170" s="68" t="s">
        <v>366</v>
      </c>
      <c r="J170" s="154" t="s">
        <v>379</v>
      </c>
      <c r="K170" s="73"/>
      <c r="L170" s="129">
        <v>194</v>
      </c>
      <c r="M170" s="73"/>
      <c r="N170" s="129">
        <f t="shared" si="13"/>
        <v>1164</v>
      </c>
      <c r="O170" s="68"/>
      <c r="P170" s="68"/>
      <c r="Q170" s="68"/>
      <c r="R170" s="68"/>
      <c r="S170" s="68"/>
    </row>
    <row r="171" spans="1:19" ht="15" customHeight="1" x14ac:dyDescent="0.35">
      <c r="A171" s="85" t="s">
        <v>380</v>
      </c>
      <c r="B171" s="74" t="s">
        <v>352</v>
      </c>
      <c r="C171" s="68" t="s">
        <v>93</v>
      </c>
      <c r="D171" s="68" t="s">
        <v>343</v>
      </c>
      <c r="E171" s="68"/>
      <c r="F171" s="69" t="s">
        <v>628</v>
      </c>
      <c r="G171" s="69"/>
      <c r="H171" s="69"/>
      <c r="I171" s="69" t="s">
        <v>366</v>
      </c>
      <c r="J171" s="154"/>
      <c r="K171" s="73"/>
      <c r="L171" s="129"/>
      <c r="M171" s="73"/>
      <c r="N171" s="129">
        <v>3615.6</v>
      </c>
      <c r="O171" s="68"/>
      <c r="P171" s="68"/>
      <c r="Q171" s="68"/>
      <c r="R171" s="68"/>
      <c r="S171" s="68"/>
    </row>
    <row r="172" spans="1:19" ht="15" customHeight="1" outlineLevel="2" x14ac:dyDescent="0.35">
      <c r="A172" s="85"/>
      <c r="B172" s="74" t="s">
        <v>352</v>
      </c>
      <c r="C172" s="68"/>
      <c r="D172" s="68"/>
      <c r="E172" s="68"/>
      <c r="F172" s="68" t="s">
        <v>604</v>
      </c>
      <c r="G172" s="68">
        <v>1</v>
      </c>
      <c r="H172" s="68"/>
      <c r="I172" s="68" t="s">
        <v>366</v>
      </c>
      <c r="J172" s="154"/>
      <c r="K172" s="73"/>
      <c r="L172" s="129">
        <v>33</v>
      </c>
      <c r="M172" s="73"/>
      <c r="N172" s="129"/>
      <c r="O172" s="68"/>
      <c r="P172" s="68"/>
      <c r="Q172" s="68"/>
      <c r="R172" s="68"/>
      <c r="S172" s="68"/>
    </row>
    <row r="173" spans="1:19" ht="15" customHeight="1" outlineLevel="2" x14ac:dyDescent="0.35">
      <c r="A173" s="85"/>
      <c r="B173" s="74" t="s">
        <v>352</v>
      </c>
      <c r="C173" s="68"/>
      <c r="D173" s="68"/>
      <c r="E173" s="68"/>
      <c r="F173" s="68" t="s">
        <v>605</v>
      </c>
      <c r="G173" s="68">
        <v>1</v>
      </c>
      <c r="H173" s="68"/>
      <c r="I173" s="68" t="s">
        <v>366</v>
      </c>
      <c r="J173" s="154"/>
      <c r="K173" s="73"/>
      <c r="L173" s="129">
        <v>15.9</v>
      </c>
      <c r="M173" s="73"/>
      <c r="N173" s="129"/>
      <c r="O173" s="68"/>
      <c r="P173" s="68"/>
      <c r="Q173" s="68"/>
      <c r="R173" s="68"/>
      <c r="S173" s="68"/>
    </row>
    <row r="174" spans="1:19" ht="15" customHeight="1" outlineLevel="2" x14ac:dyDescent="0.35">
      <c r="A174" s="85"/>
      <c r="B174" s="74" t="s">
        <v>352</v>
      </c>
      <c r="C174" s="68"/>
      <c r="D174" s="68"/>
      <c r="E174" s="68"/>
      <c r="F174" s="68" t="s">
        <v>606</v>
      </c>
      <c r="G174" s="68">
        <v>2</v>
      </c>
      <c r="H174" s="68"/>
      <c r="I174" s="68" t="s">
        <v>366</v>
      </c>
      <c r="J174" s="154"/>
      <c r="K174" s="73"/>
      <c r="L174" s="129">
        <v>8.9</v>
      </c>
      <c r="M174" s="73"/>
      <c r="N174" s="129"/>
      <c r="O174" s="68"/>
      <c r="P174" s="68"/>
      <c r="Q174" s="68"/>
      <c r="R174" s="68"/>
      <c r="S174" s="68"/>
    </row>
    <row r="175" spans="1:19" ht="15" customHeight="1" outlineLevel="2" x14ac:dyDescent="0.35">
      <c r="A175" s="85"/>
      <c r="B175" s="74" t="s">
        <v>352</v>
      </c>
      <c r="C175" s="68"/>
      <c r="D175" s="68"/>
      <c r="E175" s="68"/>
      <c r="F175" s="68" t="s">
        <v>607</v>
      </c>
      <c r="G175" s="68">
        <v>1</v>
      </c>
      <c r="H175" s="68"/>
      <c r="I175" s="68" t="s">
        <v>366</v>
      </c>
      <c r="J175" s="154"/>
      <c r="K175" s="73"/>
      <c r="L175" s="129">
        <v>118</v>
      </c>
      <c r="M175" s="73"/>
      <c r="N175" s="129"/>
      <c r="O175" s="68"/>
      <c r="P175" s="68"/>
      <c r="Q175" s="68"/>
      <c r="R175" s="68"/>
      <c r="S175" s="68"/>
    </row>
    <row r="176" spans="1:19" ht="15" customHeight="1" outlineLevel="2" x14ac:dyDescent="0.35">
      <c r="A176" s="85"/>
      <c r="B176" s="74" t="s">
        <v>352</v>
      </c>
      <c r="C176" s="68"/>
      <c r="D176" s="68"/>
      <c r="E176" s="68"/>
      <c r="F176" s="68" t="s">
        <v>608</v>
      </c>
      <c r="G176" s="68">
        <v>2</v>
      </c>
      <c r="H176" s="68"/>
      <c r="I176" s="68" t="s">
        <v>366</v>
      </c>
      <c r="J176" s="154"/>
      <c r="K176" s="73"/>
      <c r="L176" s="129">
        <v>83</v>
      </c>
      <c r="M176" s="73"/>
      <c r="N176" s="129"/>
      <c r="O176" s="68"/>
      <c r="P176" s="68"/>
      <c r="Q176" s="68"/>
      <c r="R176" s="68"/>
      <c r="S176" s="68"/>
    </row>
    <row r="177" spans="1:19" ht="15" customHeight="1" outlineLevel="2" x14ac:dyDescent="0.35">
      <c r="A177" s="85"/>
      <c r="B177" s="74" t="s">
        <v>352</v>
      </c>
      <c r="C177" s="68"/>
      <c r="D177" s="68"/>
      <c r="E177" s="68"/>
      <c r="F177" s="68" t="s">
        <v>609</v>
      </c>
      <c r="G177" s="68">
        <v>4</v>
      </c>
      <c r="H177" s="68"/>
      <c r="I177" s="68" t="s">
        <v>366</v>
      </c>
      <c r="J177" s="154"/>
      <c r="K177" s="73"/>
      <c r="L177" s="129">
        <v>18</v>
      </c>
      <c r="M177" s="73"/>
      <c r="N177" s="129"/>
      <c r="O177" s="68"/>
      <c r="P177" s="68"/>
      <c r="Q177" s="68"/>
      <c r="R177" s="68"/>
      <c r="S177" s="68"/>
    </row>
    <row r="178" spans="1:19" ht="15" customHeight="1" outlineLevel="2" x14ac:dyDescent="0.35">
      <c r="A178" s="85"/>
      <c r="B178" s="74" t="s">
        <v>352</v>
      </c>
      <c r="C178" s="68"/>
      <c r="D178" s="68"/>
      <c r="E178" s="68"/>
      <c r="F178" s="68" t="s">
        <v>610</v>
      </c>
      <c r="G178" s="68">
        <v>1</v>
      </c>
      <c r="H178" s="68"/>
      <c r="I178" s="68" t="s">
        <v>366</v>
      </c>
      <c r="J178" s="154"/>
      <c r="K178" s="73"/>
      <c r="L178" s="129">
        <v>4.9000000000000004</v>
      </c>
      <c r="M178" s="73"/>
      <c r="N178" s="129"/>
      <c r="O178" s="68"/>
      <c r="P178" s="68"/>
      <c r="Q178" s="68"/>
      <c r="R178" s="68"/>
      <c r="S178" s="68"/>
    </row>
    <row r="179" spans="1:19" ht="15" customHeight="1" outlineLevel="2" x14ac:dyDescent="0.35">
      <c r="A179" s="85"/>
      <c r="B179" s="74" t="s">
        <v>352</v>
      </c>
      <c r="C179" s="68"/>
      <c r="D179" s="68"/>
      <c r="E179" s="68"/>
      <c r="F179" s="68" t="s">
        <v>611</v>
      </c>
      <c r="G179" s="68">
        <v>4</v>
      </c>
      <c r="H179" s="68"/>
      <c r="I179" s="68" t="s">
        <v>366</v>
      </c>
      <c r="J179" s="154"/>
      <c r="K179" s="73"/>
      <c r="L179" s="129">
        <v>779</v>
      </c>
      <c r="M179" s="73"/>
      <c r="N179" s="129"/>
      <c r="O179" s="68"/>
      <c r="P179" s="68"/>
      <c r="Q179" s="68"/>
      <c r="R179" s="68"/>
      <c r="S179" s="68"/>
    </row>
    <row r="180" spans="1:19" ht="15" customHeight="1" outlineLevel="2" x14ac:dyDescent="0.35">
      <c r="A180" s="85"/>
      <c r="B180" s="74" t="s">
        <v>352</v>
      </c>
      <c r="C180" s="68"/>
      <c r="D180" s="68"/>
      <c r="E180" s="68"/>
      <c r="F180" s="68" t="s">
        <v>612</v>
      </c>
      <c r="G180" s="68">
        <v>2</v>
      </c>
      <c r="H180" s="68"/>
      <c r="I180" s="68" t="s">
        <v>366</v>
      </c>
      <c r="J180" s="154"/>
      <c r="K180" s="73"/>
      <c r="L180" s="129">
        <v>21</v>
      </c>
      <c r="M180" s="73"/>
      <c r="N180" s="129"/>
      <c r="O180" s="68"/>
      <c r="P180" s="68"/>
      <c r="Q180" s="68"/>
      <c r="R180" s="68"/>
      <c r="S180" s="68"/>
    </row>
    <row r="181" spans="1:19" ht="15" customHeight="1" outlineLevel="2" x14ac:dyDescent="0.35">
      <c r="A181" s="85"/>
      <c r="B181" s="74" t="s">
        <v>352</v>
      </c>
      <c r="C181" s="68"/>
      <c r="D181" s="68"/>
      <c r="E181" s="68"/>
      <c r="F181" s="68" t="s">
        <v>613</v>
      </c>
      <c r="G181" s="68">
        <v>1</v>
      </c>
      <c r="H181" s="68"/>
      <c r="I181" s="68" t="s">
        <v>366</v>
      </c>
      <c r="J181" s="154"/>
      <c r="K181" s="73"/>
      <c r="L181" s="129">
        <v>30</v>
      </c>
      <c r="M181" s="73"/>
      <c r="N181" s="129"/>
      <c r="O181" s="68"/>
      <c r="P181" s="68"/>
      <c r="Q181" s="68"/>
      <c r="R181" s="68"/>
      <c r="S181" s="68"/>
    </row>
    <row r="182" spans="1:19" ht="15" customHeight="1" x14ac:dyDescent="0.35">
      <c r="A182" s="85" t="s">
        <v>630</v>
      </c>
      <c r="B182" s="74" t="s">
        <v>352</v>
      </c>
      <c r="C182" s="68" t="s">
        <v>93</v>
      </c>
      <c r="D182" s="141" t="s">
        <v>586</v>
      </c>
      <c r="E182" s="141" t="s">
        <v>43</v>
      </c>
      <c r="F182" s="141" t="s">
        <v>631</v>
      </c>
      <c r="G182" s="68">
        <v>1</v>
      </c>
      <c r="H182" s="68"/>
      <c r="I182" s="68" t="s">
        <v>698</v>
      </c>
      <c r="J182" s="154" t="s">
        <v>513</v>
      </c>
      <c r="K182" s="73">
        <v>4522.28</v>
      </c>
      <c r="L182" s="129">
        <v>5381.51</v>
      </c>
      <c r="M182" s="73"/>
      <c r="N182" s="129">
        <f t="shared" si="13"/>
        <v>5381.51</v>
      </c>
      <c r="O182" s="68"/>
      <c r="P182" s="68"/>
      <c r="Q182" s="68"/>
      <c r="R182" s="68"/>
      <c r="S182" s="68"/>
    </row>
    <row r="183" spans="1:19" s="65" customFormat="1" ht="30" customHeight="1" thickBot="1" x14ac:dyDescent="0.5">
      <c r="A183" s="85"/>
      <c r="B183" s="74" t="s">
        <v>352</v>
      </c>
      <c r="C183" s="68"/>
      <c r="D183" s="68"/>
      <c r="E183" s="68"/>
      <c r="F183" s="68"/>
      <c r="G183" s="68"/>
      <c r="H183" s="68"/>
      <c r="I183" s="68"/>
      <c r="J183" s="157"/>
      <c r="K183" s="73"/>
      <c r="L183" s="140" t="s">
        <v>701</v>
      </c>
      <c r="M183" s="95">
        <f>N183/1.19</f>
        <v>25119.638655462182</v>
      </c>
      <c r="N183" s="86">
        <f>SUM(N147:N182)</f>
        <v>29892.369999999995</v>
      </c>
      <c r="O183" s="68"/>
      <c r="P183" s="68"/>
      <c r="Q183" s="68"/>
      <c r="R183" s="68"/>
      <c r="S183" s="68"/>
    </row>
    <row r="184" spans="1:19" ht="15" customHeight="1" x14ac:dyDescent="0.35">
      <c r="A184" s="85" t="s">
        <v>385</v>
      </c>
      <c r="B184" s="74" t="s">
        <v>386</v>
      </c>
      <c r="C184" s="68" t="s">
        <v>93</v>
      </c>
      <c r="D184" s="68" t="s">
        <v>586</v>
      </c>
      <c r="E184" s="68" t="s">
        <v>292</v>
      </c>
      <c r="F184" s="68" t="s">
        <v>292</v>
      </c>
      <c r="G184" s="68">
        <v>1</v>
      </c>
      <c r="H184" s="68"/>
      <c r="I184" s="68"/>
      <c r="J184" s="74"/>
      <c r="K184" s="73"/>
      <c r="L184" s="100">
        <v>800</v>
      </c>
      <c r="M184" s="94"/>
      <c r="N184" s="94">
        <f>SUM(G184*L184)</f>
        <v>800</v>
      </c>
      <c r="O184" s="68"/>
      <c r="P184" s="68"/>
      <c r="Q184" s="68"/>
      <c r="R184" s="68"/>
      <c r="S184" s="68"/>
    </row>
    <row r="185" spans="1:19" ht="15" customHeight="1" x14ac:dyDescent="0.35">
      <c r="A185" s="85" t="s">
        <v>400</v>
      </c>
      <c r="B185" s="74" t="s">
        <v>386</v>
      </c>
      <c r="C185" s="68" t="s">
        <v>93</v>
      </c>
      <c r="D185" s="68" t="s">
        <v>586</v>
      </c>
      <c r="E185" s="68" t="s">
        <v>9</v>
      </c>
      <c r="F185" s="68" t="s">
        <v>9</v>
      </c>
      <c r="G185" s="69">
        <v>4</v>
      </c>
      <c r="H185" s="68"/>
      <c r="I185" s="68"/>
      <c r="J185" s="74"/>
      <c r="K185" s="73"/>
      <c r="L185" s="100">
        <v>300</v>
      </c>
      <c r="M185" s="94"/>
      <c r="N185" s="94">
        <f>SUM(G185*L185)</f>
        <v>1200</v>
      </c>
      <c r="O185" s="68"/>
      <c r="P185" s="68"/>
      <c r="Q185" s="68"/>
      <c r="R185" s="68"/>
      <c r="S185" s="68"/>
    </row>
    <row r="186" spans="1:19" ht="15" customHeight="1" x14ac:dyDescent="0.35">
      <c r="A186" s="85" t="s">
        <v>401</v>
      </c>
      <c r="B186" s="74" t="s">
        <v>386</v>
      </c>
      <c r="C186" s="68" t="s">
        <v>93</v>
      </c>
      <c r="D186" s="68" t="s">
        <v>586</v>
      </c>
      <c r="E186" s="68" t="s">
        <v>584</v>
      </c>
      <c r="F186" s="93" t="s">
        <v>392</v>
      </c>
      <c r="G186" s="69">
        <v>1</v>
      </c>
      <c r="H186" s="68" t="s">
        <v>126</v>
      </c>
      <c r="I186" s="69" t="s">
        <v>82</v>
      </c>
      <c r="J186" s="159" t="s">
        <v>127</v>
      </c>
      <c r="K186" s="73"/>
      <c r="L186" s="73">
        <v>859.99</v>
      </c>
      <c r="M186" s="73"/>
      <c r="N186" s="73">
        <f>SUM(G186*L186)</f>
        <v>859.99</v>
      </c>
      <c r="O186" s="68"/>
      <c r="P186" s="68"/>
      <c r="Q186" s="68"/>
      <c r="R186" s="68"/>
      <c r="S186" s="68"/>
    </row>
    <row r="187" spans="1:19" ht="15" customHeight="1" x14ac:dyDescent="0.35">
      <c r="A187" s="85" t="s">
        <v>402</v>
      </c>
      <c r="B187" s="74" t="s">
        <v>386</v>
      </c>
      <c r="C187" s="68" t="s">
        <v>93</v>
      </c>
      <c r="D187" s="68" t="s">
        <v>586</v>
      </c>
      <c r="E187" s="68" t="s">
        <v>301</v>
      </c>
      <c r="F187" s="68" t="s">
        <v>387</v>
      </c>
      <c r="G187" s="69">
        <v>1</v>
      </c>
      <c r="H187" s="68"/>
      <c r="I187" s="68"/>
      <c r="J187" s="74"/>
      <c r="K187" s="73"/>
      <c r="L187" s="73">
        <v>1000</v>
      </c>
      <c r="M187" s="73"/>
      <c r="N187" s="73">
        <f>SUM(G187*L187)</f>
        <v>1000</v>
      </c>
      <c r="O187" s="68"/>
      <c r="P187" s="68"/>
      <c r="Q187" s="68"/>
      <c r="R187" s="68"/>
      <c r="S187" s="68"/>
    </row>
    <row r="188" spans="1:19" ht="15" customHeight="1" x14ac:dyDescent="0.35">
      <c r="A188" s="85" t="s">
        <v>403</v>
      </c>
      <c r="B188" s="74" t="s">
        <v>386</v>
      </c>
      <c r="C188" s="68" t="s">
        <v>93</v>
      </c>
      <c r="D188" s="68" t="s">
        <v>586</v>
      </c>
      <c r="E188" s="68" t="s">
        <v>417</v>
      </c>
      <c r="F188" s="68" t="s">
        <v>389</v>
      </c>
      <c r="G188" s="69">
        <v>2</v>
      </c>
      <c r="H188" s="68"/>
      <c r="I188" s="68"/>
      <c r="J188" s="74"/>
      <c r="K188" s="73"/>
      <c r="L188" s="73" t="s">
        <v>415</v>
      </c>
      <c r="M188" s="73"/>
      <c r="N188" s="73"/>
      <c r="O188" s="68"/>
      <c r="P188" s="68"/>
      <c r="Q188" s="68"/>
      <c r="R188" s="68"/>
      <c r="S188" s="68"/>
    </row>
    <row r="189" spans="1:19" ht="15" customHeight="1" x14ac:dyDescent="0.35">
      <c r="A189" s="85" t="s">
        <v>404</v>
      </c>
      <c r="B189" s="74" t="s">
        <v>386</v>
      </c>
      <c r="C189" s="68" t="s">
        <v>93</v>
      </c>
      <c r="D189" s="68" t="s">
        <v>586</v>
      </c>
      <c r="E189" s="68"/>
      <c r="F189" s="103" t="s">
        <v>388</v>
      </c>
      <c r="G189" s="69">
        <v>1</v>
      </c>
      <c r="H189" s="68"/>
      <c r="I189" s="68"/>
      <c r="J189" s="74"/>
      <c r="K189" s="73"/>
      <c r="L189" s="73" t="s">
        <v>415</v>
      </c>
      <c r="M189" s="73"/>
      <c r="N189" s="73"/>
      <c r="O189" s="68"/>
      <c r="P189" s="68"/>
      <c r="Q189" s="68"/>
      <c r="R189" s="68"/>
      <c r="S189" s="68"/>
    </row>
    <row r="190" spans="1:19" ht="15" customHeight="1" x14ac:dyDescent="0.35">
      <c r="A190" s="85" t="s">
        <v>405</v>
      </c>
      <c r="B190" s="74" t="s">
        <v>386</v>
      </c>
      <c r="C190" s="68" t="s">
        <v>93</v>
      </c>
      <c r="D190" s="68" t="s">
        <v>170</v>
      </c>
      <c r="E190" s="68" t="s">
        <v>33</v>
      </c>
      <c r="F190" s="69"/>
      <c r="G190" s="69">
        <v>1</v>
      </c>
      <c r="H190" s="68"/>
      <c r="I190" s="68"/>
      <c r="J190" s="74"/>
      <c r="K190" s="73"/>
      <c r="L190" s="73">
        <v>1000</v>
      </c>
      <c r="M190" s="73"/>
      <c r="N190" s="73">
        <f>SUM(G190*L190)</f>
        <v>1000</v>
      </c>
      <c r="O190" s="68"/>
      <c r="P190" s="68"/>
      <c r="Q190" s="68"/>
      <c r="R190" s="68"/>
      <c r="S190" s="68"/>
    </row>
    <row r="191" spans="1:19" ht="15" customHeight="1" x14ac:dyDescent="0.35">
      <c r="A191" s="85" t="s">
        <v>406</v>
      </c>
      <c r="B191" s="74" t="s">
        <v>386</v>
      </c>
      <c r="C191" s="68" t="s">
        <v>93</v>
      </c>
      <c r="D191" s="68" t="s">
        <v>586</v>
      </c>
      <c r="E191" s="68" t="s">
        <v>43</v>
      </c>
      <c r="F191" s="69" t="s">
        <v>585</v>
      </c>
      <c r="G191" s="69">
        <v>1</v>
      </c>
      <c r="H191" s="68"/>
      <c r="I191" s="68"/>
      <c r="J191" s="74"/>
      <c r="K191" s="73"/>
      <c r="L191" s="73" t="s">
        <v>415</v>
      </c>
      <c r="M191" s="73"/>
      <c r="N191" s="73"/>
      <c r="O191" s="68"/>
      <c r="P191" s="68"/>
      <c r="Q191" s="68"/>
      <c r="R191" s="68"/>
      <c r="S191" s="68"/>
    </row>
    <row r="192" spans="1:19" ht="15" customHeight="1" x14ac:dyDescent="0.35">
      <c r="A192" s="85" t="s">
        <v>407</v>
      </c>
      <c r="B192" s="74" t="s">
        <v>386</v>
      </c>
      <c r="C192" s="68" t="s">
        <v>93</v>
      </c>
      <c r="D192" s="68" t="s">
        <v>454</v>
      </c>
      <c r="E192" s="68"/>
      <c r="F192" s="69" t="s">
        <v>391</v>
      </c>
      <c r="G192" s="69">
        <v>1</v>
      </c>
      <c r="H192" s="113"/>
      <c r="I192" s="68"/>
      <c r="J192" s="74"/>
      <c r="K192" s="73"/>
      <c r="L192" s="73" t="s">
        <v>415</v>
      </c>
      <c r="M192" s="73"/>
      <c r="N192" s="73"/>
      <c r="O192" s="68"/>
      <c r="P192" s="68"/>
      <c r="Q192" s="68"/>
      <c r="R192" s="68"/>
      <c r="S192" s="68"/>
    </row>
    <row r="193" spans="1:19" ht="15" customHeight="1" x14ac:dyDescent="0.35">
      <c r="A193" s="85" t="s">
        <v>408</v>
      </c>
      <c r="B193" s="74" t="s">
        <v>386</v>
      </c>
      <c r="C193" s="68" t="s">
        <v>93</v>
      </c>
      <c r="D193" s="68" t="s">
        <v>586</v>
      </c>
      <c r="E193" s="68"/>
      <c r="F193" s="69" t="s">
        <v>393</v>
      </c>
      <c r="G193" s="69" t="s">
        <v>353</v>
      </c>
      <c r="H193" s="68"/>
      <c r="I193" s="68"/>
      <c r="J193" s="74"/>
      <c r="K193" s="73"/>
      <c r="L193" s="73"/>
      <c r="M193" s="73"/>
      <c r="N193" s="73">
        <v>200</v>
      </c>
      <c r="O193" s="68"/>
      <c r="P193" s="68"/>
      <c r="Q193" s="68"/>
      <c r="R193" s="68"/>
      <c r="S193" s="68"/>
    </row>
    <row r="194" spans="1:19" ht="15" customHeight="1" x14ac:dyDescent="0.35">
      <c r="A194" s="85" t="s">
        <v>409</v>
      </c>
      <c r="B194" s="74" t="s">
        <v>386</v>
      </c>
      <c r="C194" s="68" t="s">
        <v>93</v>
      </c>
      <c r="D194" s="68" t="s">
        <v>208</v>
      </c>
      <c r="E194" s="68"/>
      <c r="F194" s="69" t="s">
        <v>394</v>
      </c>
      <c r="G194" s="69" t="s">
        <v>353</v>
      </c>
      <c r="H194" s="68"/>
      <c r="I194" s="68"/>
      <c r="J194" s="74"/>
      <c r="K194" s="73"/>
      <c r="L194" s="73"/>
      <c r="M194" s="73"/>
      <c r="N194" s="73">
        <v>22000</v>
      </c>
      <c r="O194" s="68"/>
      <c r="P194" s="68"/>
      <c r="Q194" s="68"/>
      <c r="R194" s="68"/>
      <c r="S194" s="68"/>
    </row>
    <row r="195" spans="1:19" ht="15" customHeight="1" x14ac:dyDescent="0.35">
      <c r="A195" s="85" t="s">
        <v>410</v>
      </c>
      <c r="B195" s="74" t="s">
        <v>386</v>
      </c>
      <c r="C195" s="68" t="s">
        <v>93</v>
      </c>
      <c r="D195" s="68" t="s">
        <v>170</v>
      </c>
      <c r="E195" s="68"/>
      <c r="F195" s="69" t="s">
        <v>395</v>
      </c>
      <c r="G195" s="69" t="s">
        <v>353</v>
      </c>
      <c r="H195" s="68"/>
      <c r="I195" s="68"/>
      <c r="J195" s="74"/>
      <c r="K195" s="73"/>
      <c r="L195" s="73"/>
      <c r="M195" s="73"/>
      <c r="N195" s="73">
        <v>500</v>
      </c>
      <c r="O195" s="68"/>
      <c r="P195" s="68"/>
      <c r="Q195" s="68"/>
      <c r="R195" s="68"/>
      <c r="S195" s="68"/>
    </row>
    <row r="196" spans="1:19" ht="15" customHeight="1" x14ac:dyDescent="0.35">
      <c r="A196" s="85" t="s">
        <v>411</v>
      </c>
      <c r="B196" s="74" t="s">
        <v>386</v>
      </c>
      <c r="C196" s="68" t="s">
        <v>93</v>
      </c>
      <c r="D196" s="68" t="s">
        <v>170</v>
      </c>
      <c r="E196" s="68"/>
      <c r="F196" s="69" t="s">
        <v>396</v>
      </c>
      <c r="G196" s="68">
        <v>1</v>
      </c>
      <c r="H196" s="68"/>
      <c r="I196" s="68"/>
      <c r="J196" s="74"/>
      <c r="K196" s="73"/>
      <c r="L196" s="73"/>
      <c r="M196" s="73"/>
      <c r="N196" s="73">
        <f>SUM(G196*L196)</f>
        <v>0</v>
      </c>
      <c r="O196" s="68"/>
      <c r="P196" s="68"/>
      <c r="Q196" s="68"/>
      <c r="R196" s="68"/>
      <c r="S196" s="68"/>
    </row>
    <row r="197" spans="1:19" ht="15" customHeight="1" x14ac:dyDescent="0.35">
      <c r="A197" s="85" t="s">
        <v>412</v>
      </c>
      <c r="B197" s="74" t="s">
        <v>386</v>
      </c>
      <c r="C197" s="68" t="s">
        <v>93</v>
      </c>
      <c r="D197" s="68" t="s">
        <v>170</v>
      </c>
      <c r="E197" s="68"/>
      <c r="F197" s="69" t="s">
        <v>397</v>
      </c>
      <c r="G197" s="69" t="s">
        <v>353</v>
      </c>
      <c r="H197" s="68"/>
      <c r="I197" s="68"/>
      <c r="J197" s="74"/>
      <c r="K197" s="73"/>
      <c r="L197" s="73"/>
      <c r="M197" s="73"/>
      <c r="N197" s="73">
        <v>0</v>
      </c>
      <c r="O197" s="68"/>
      <c r="P197" s="68"/>
      <c r="Q197" s="68"/>
      <c r="R197" s="68"/>
      <c r="S197" s="68"/>
    </row>
    <row r="198" spans="1:19" ht="15" customHeight="1" x14ac:dyDescent="0.35">
      <c r="A198" s="85" t="s">
        <v>413</v>
      </c>
      <c r="B198" s="74" t="s">
        <v>386</v>
      </c>
      <c r="C198" s="68" t="s">
        <v>93</v>
      </c>
      <c r="D198" s="69" t="s">
        <v>136</v>
      </c>
      <c r="E198" s="68" t="s">
        <v>42</v>
      </c>
      <c r="F198" s="69" t="s">
        <v>398</v>
      </c>
      <c r="G198" s="68">
        <v>1</v>
      </c>
      <c r="H198" s="68"/>
      <c r="I198" s="68"/>
      <c r="J198" s="74"/>
      <c r="K198" s="73"/>
      <c r="L198" s="73"/>
      <c r="M198" s="73"/>
      <c r="N198" s="73">
        <f>SUM(G198*L198)</f>
        <v>0</v>
      </c>
      <c r="O198" s="68"/>
      <c r="P198" s="68"/>
      <c r="Q198" s="68"/>
      <c r="R198" s="68"/>
      <c r="S198" s="68"/>
    </row>
    <row r="199" spans="1:19" ht="15" customHeight="1" x14ac:dyDescent="0.35">
      <c r="A199" s="85" t="s">
        <v>414</v>
      </c>
      <c r="B199" s="74" t="s">
        <v>386</v>
      </c>
      <c r="C199" s="68" t="s">
        <v>93</v>
      </c>
      <c r="D199" s="69" t="s">
        <v>335</v>
      </c>
      <c r="E199" s="68"/>
      <c r="F199" s="69" t="s">
        <v>399</v>
      </c>
      <c r="G199" s="68">
        <v>1</v>
      </c>
      <c r="H199" s="68"/>
      <c r="I199" s="68"/>
      <c r="J199" s="74"/>
      <c r="K199" s="73"/>
      <c r="L199" s="73"/>
      <c r="M199" s="73"/>
      <c r="N199" s="73">
        <f>SUM(G199*L199)</f>
        <v>0</v>
      </c>
      <c r="O199" s="68"/>
      <c r="P199" s="68"/>
      <c r="Q199" s="68"/>
      <c r="R199" s="68"/>
      <c r="S199" s="68"/>
    </row>
    <row r="200" spans="1:19" s="65" customFormat="1" ht="30" customHeight="1" thickBot="1" x14ac:dyDescent="0.5">
      <c r="A200" s="85"/>
      <c r="B200" s="74" t="s">
        <v>386</v>
      </c>
      <c r="C200" s="68"/>
      <c r="D200" s="68"/>
      <c r="E200" s="68"/>
      <c r="F200" s="68"/>
      <c r="G200" s="68"/>
      <c r="H200" s="68"/>
      <c r="I200" s="68"/>
      <c r="J200" s="74"/>
      <c r="K200" s="73"/>
      <c r="L200" s="73"/>
      <c r="M200" s="95">
        <f>N200/1.19</f>
        <v>23159.655462184874</v>
      </c>
      <c r="N200" s="86">
        <f>SUM(N184:N199)</f>
        <v>27559.989999999998</v>
      </c>
      <c r="O200" s="68"/>
      <c r="P200" s="68"/>
      <c r="Q200" s="68"/>
      <c r="R200" s="68"/>
      <c r="S200" s="68"/>
    </row>
  </sheetData>
  <autoFilter ref="A2:S200" xr:uid="{004DC0CA-E430-4627-8671-4B268A77709C}"/>
  <conditionalFormatting sqref="D1:D48 D50:D1048576">
    <cfRule type="cellIs" dxfId="22" priority="2" operator="equal">
      <formula>"Dienstleistung"</formula>
    </cfRule>
  </conditionalFormatting>
  <conditionalFormatting sqref="F1">
    <cfRule type="cellIs" dxfId="21" priority="3" stopIfTrue="1" operator="equal">
      <formula>"Analoge Technikergänzung"</formula>
    </cfRule>
    <cfRule type="cellIs" dxfId="20" priority="4" stopIfTrue="1" operator="equal">
      <formula>"Analoge Technikergänzung"</formula>
    </cfRule>
    <cfRule type="cellIs" dxfId="19" priority="12" stopIfTrue="1" operator="equal">
      <formula>"Leinwand"</formula>
    </cfRule>
  </conditionalFormatting>
  <conditionalFormatting sqref="Z1:Z48 Z50:Z1048576">
    <cfRule type="cellIs" dxfId="18" priority="6" stopIfTrue="1" operator="equal">
      <formula>"Elektrogeräte"</formula>
    </cfRule>
    <cfRule type="cellIs" dxfId="17" priority="7" stopIfTrue="1" operator="equal">
      <formula>"Möbel"</formula>
    </cfRule>
    <cfRule type="cellIs" dxfId="16" priority="8" stopIfTrue="1" operator="equal">
      <formula>"Möbel"</formula>
    </cfRule>
    <cfRule type="cellIs" dxfId="15" priority="9" stopIfTrue="1" operator="equal">
      <formula>"Analoge Technikergänzung"</formula>
    </cfRule>
    <cfRule type="cellIs" dxfId="14" priority="10" stopIfTrue="1" operator="equal">
      <formula>"Orga/Büroausstattung/Archiv"</formula>
    </cfRule>
    <cfRule type="cellIs" dxfId="13" priority="13" stopIfTrue="1" operator="equal">
      <formula>"Tablet"</formula>
    </cfRule>
    <cfRule type="cellIs" dxfId="12" priority="14" stopIfTrue="1" operator="equal">
      <formula>"Beamer"</formula>
    </cfRule>
    <cfRule type="containsText" dxfId="11" priority="15" stopIfTrue="1" operator="containsText" text="Dienstleistung">
      <formula>NOT(ISERROR(SEARCH("Dienstleistung",Z1)))</formula>
    </cfRule>
    <cfRule type="containsText" dxfId="10" priority="16" stopIfTrue="1" operator="containsText" text="Dienstleistung">
      <formula>NOT(ISERROR(SEARCH("Dienstleistung",Z1)))</formula>
    </cfRule>
  </conditionalFormatting>
  <conditionalFormatting sqref="E138:E144 E1:F48 E50:F53 E54 E55:F137 E145:F1048576">
    <cfRule type="cellIs" dxfId="9" priority="5" operator="equal">
      <formula>"Dienstleistung"</formula>
    </cfRule>
  </conditionalFormatting>
  <conditionalFormatting sqref="F54">
    <cfRule type="cellIs" dxfId="8" priority="1" operator="equal">
      <formula>"Dienstleistung"</formula>
    </cfRule>
  </conditionalFormatting>
  <hyperlinks>
    <hyperlink ref="J5" r:id="rId1" display="https://www.amazon.de/KTC-EDLA-Zertifiziert-Lautsprecher-A32Q7-Pro/dp/B0DWNC1573/ref=sr_1_3?__mk_de_DE=%C3%85M%C3%85%C5%BD%C3%95%C3%91&amp;crid=1ISKTSY7EP3M0&amp;dib=eyJ2IjoiMSJ9.cxjCIAHtwti7PYoM354XX13DqAM81CMzSzOq6Ux0uezGjHj071QN20LucGBJIEps.dDQHOBtabn088tp3BsHAYS-xbRg_yBNKtLv7oXkxDg0&amp;dib_tag=se&amp;keywords=KTC%2BA32Q7%2BPro&amp;qid=1759932244&amp;sprefix=ktc%2Ba32q7%2Bpro%2Caps%2C149&amp;sr=8-3&amp;th=1 " xr:uid="{31F16A12-C768-4652-9B32-9AAB18DE6C53}"/>
    <hyperlink ref="J6" r:id="rId2" xr:uid="{AE96B31D-4DC7-4F52-A5B1-4840D4C94775}"/>
    <hyperlink ref="J11" r:id="rId3" xr:uid="{F5EA1C48-D19F-4659-B144-73706C87F074}"/>
    <hyperlink ref="J15" r:id="rId4" display="https://www.apple.com/de/shop/product/MXK53Z/A/magic-mouse-usb%E2%80%91c-weiße-multi-touch-oberfläche?fnode=d2c80cfc3ca4c981ae96f4088cc087cb61c51dd962dc386db44b315d13a98efb8a5d1c6699d2bdd5459f8f8a274d4fdafcbe02a504fb4f87a0c4dc7196fdf40239038fe7659114c78adc869ddbb349a1de37cec56c4a4c22cc123f984aa3a4f1" xr:uid="{B222FDBC-457E-4CF1-AEB2-0280CDB80EFD}"/>
    <hyperlink ref="J16" r:id="rId5" xr:uid="{776361AE-9F3D-431A-B98D-50BF67224B2D}"/>
    <hyperlink ref="J17" r:id="rId6" display="https://www.conrad.de/de/p/celexon-leinwand-rollo-economy-240-x-180-cm-118-562483.html?insert_kz=VQ&amp;hk=SEM&amp;WT.mc_id=google_pla&amp;qwer=CjwKCAjwup3HBhAAEiwA7euZuvdWLj0SNmQOtnmiT5D46BhlPWYZvuvbTSMlXP79P2aAMRCy_Wa3YxoCpx0QAvD_BwE&amp;utm_source=google&amp;utm_medium=cpc&amp;utm_campaign=DE%20-%20PMAX%20-%20Nonbrand%20-%20Learning&amp;utm_id=20402606569&amp;gad_source=1&amp;gad_campaignid=20392975386&amp;gbraid=0AAAAAD1-3H7azEKnXypDU74RaXHME7fia&amp;gclid=CjwKCAjwup3HBhAAEiwA7euZuvdWLj0SNmQOtnmiT5D46BhlPWYZvuvbTSMlXP79P2aAMRCy_Wa3YxoCpx0QAvD_BwE" xr:uid="{B1403704-60AD-41CD-80BE-8773932AD366}"/>
    <hyperlink ref="J18" r:id="rId7" xr:uid="{DF263911-CAC1-43C1-9A43-27E6315E18D4}"/>
    <hyperlink ref="J19" r:id="rId8" xr:uid="{9C178CBF-7E9F-420A-9994-023AD12BFF72}"/>
    <hyperlink ref="J21" r:id="rId9" xr:uid="{6DC27961-0A2E-4888-AAC3-945FB41424CC}"/>
    <hyperlink ref="J7" r:id="rId10" xr:uid="{8CC72FD9-8B2D-4352-AA1F-A8B6D8CA225B}"/>
    <hyperlink ref="J8" r:id="rId11" display="https://www.ggmgastro.com/de-de-eur/lagerkuehlschrank-eco-200-liter-mit-1-tuer-innenseite-der-tuer-aus-kunststoff-schwarz-ksbl200?utm_source=google&amp;utm_medium=cpc&amp;utm_campaign=alle-produkte&amp;utm_content=klarna&amp;utm_term=KSBL200&amp;gad_source=1&amp;gad_campaignid=22113631619&amp;gbraid=0AAAAA9Sy9AnQBjrsF4B8RiQBEN2myHD1U&amp;gclid=CjwKCAjwup3HBhAAEiwA7euZulUNzfZl3DWlku1pKLxDgZVk9f5865yqnLRu_ejbIpwNJvUZIEIrkxoCYPoQAvD_BwE" xr:uid="{D7894617-4E7E-40F5-A0F4-136797CDFD35}"/>
    <hyperlink ref="J10" r:id="rId12" xr:uid="{0C5CE77A-E8AD-4D50-87F7-FFEF33256CDC}"/>
    <hyperlink ref="J28" r:id="rId13" xr:uid="{D12868C7-ACDB-4805-9723-774F51AC4777}"/>
    <hyperlink ref="J33" r:id="rId14" xr:uid="{D8D3E9C6-0C26-47BF-8EB2-069E975119B2}"/>
    <hyperlink ref="J32" r:id="rId15" xr:uid="{71C16BE5-08AD-4F04-AC5A-DE72561BF141}"/>
    <hyperlink ref="J36" r:id="rId16" xr:uid="{2EEFE619-2ACA-4E7F-80CD-537B9096C61D}"/>
    <hyperlink ref="J41" r:id="rId17" xr:uid="{FC7756DD-3D5D-469E-8B11-14276ECFD5AB}"/>
    <hyperlink ref="J39" r:id="rId18" xr:uid="{27092FEB-798E-4148-BA8A-02D0975FD70E}"/>
    <hyperlink ref="J40" r:id="rId19" xr:uid="{E7FA6D71-91B1-49AB-910D-F23363BEAA73}"/>
    <hyperlink ref="J46" r:id="rId20" xr:uid="{CB7BBF2F-4A9D-4A5F-A4C3-FD8A83420F12}"/>
    <hyperlink ref="J47" r:id="rId21" xr:uid="{6C7F019F-4013-4885-A15C-392EC61FDF95}"/>
    <hyperlink ref="J27" r:id="rId22" xr:uid="{4133BAF4-CB69-4A8C-96A5-D757128162BB}"/>
    <hyperlink ref="J26" r:id="rId23" xr:uid="{AC6F61E6-F637-491F-83F6-09FDEBE1A3BC}"/>
    <hyperlink ref="J25" r:id="rId24" xr:uid="{5662CC43-C437-4B8F-9F81-ED0594208131}"/>
    <hyperlink ref="J24" r:id="rId25" xr:uid="{C21FE9B3-9A99-44DB-9D1F-C6B4D5AAB176}"/>
    <hyperlink ref="J23" r:id="rId26" xr:uid="{16CCC494-7581-4342-BA46-CA9DBB8B2499}"/>
    <hyperlink ref="J22" r:id="rId27" display="https://www.schaefer-shop.de/p/sparset-maul-flipchart-solid-fahrbar-hoehenverstellbar-gratis-1-block-und-4-stifte?selectedItem=166474&amp;b2borb2c=1&amp;gshop=1&amp;alw=1319-1332-2488-3418_166474&amp;kb=ga_pm_20282185109_&amp;cc=A065954&amp;gkw=&amp;track=v44*&amp;mch2=gsad&amp;gad_source=1&amp;gad_campaignid=20286857659&amp;gbraid=0AAAAAD8KVerAQCmzDCy4iZVZ2Z6-gwdtU&amp;gclid=CjwKCAjwup3HBhAAEiwA7euZujx4m6s4BG4zG_iRVhZ3kpaOnZyCyqGjcDQMHNNd4xHlQchw1AOpwxoC-J8QAvD_BwE" xr:uid="{5747734C-59EA-465D-B638-906E4A9A1237}"/>
    <hyperlink ref="J20" r:id="rId28" display="https://www.mediamarkt.de/de/product/_jbl-partybox-710-2734750.html?storeId=420&amp;utm_source=google&amp;utm_medium=cpc&amp;utm_campaign=RT_shopping_na_nsp_na_PLA+-+bluePortal+4+PMax&amp;gclsrc=aw.ds&amp;gad_source=1&amp;gad_campaignid=19783697924&amp;gbraid=0AAAAADh5KahXps5qCZzUhBE5r6wKxf1IA&amp;gclid=CjwKCAjwup3HBhAAEiwA7euZujRugukbUeyEGrjPlze1ygI0GIoSMW51JBGSUrndoMllqCFIy5a1oxoCfU0QAvD_BwE" xr:uid="{275F3618-C636-4F78-944F-95A78DA4AC2F}"/>
    <hyperlink ref="J14" r:id="rId29" xr:uid="{8A51E579-13E7-4730-8FDD-182EF67CB0EA}"/>
    <hyperlink ref="J13" r:id="rId30" xr:uid="{23EB1D4C-2A4A-4DAE-84DC-8300E6EEE7A2}"/>
    <hyperlink ref="J12" r:id="rId31" display="https://www.apple.com/de/shop/product/MX2D3ZM/A/apple-pencil-pro?fnode=2f418c8d1aed5350c7c7bcec29dcc1a9995e6dfd72e1e010114488550e43e4a84769ca95cf066c48b055cd4c40a26e73cf257855156177ba7a0cd28229a03fc06822327b8a728a27cf8d07e442a3e3bf370a210ac007519b60a83e740fad95a2" xr:uid="{B793DD34-CB74-435E-BA9C-FC2B52D51667}"/>
    <hyperlink ref="J29" r:id="rId32" xr:uid="{C29EDBAA-556E-48BA-AA3C-A3BE9EA80DC9}"/>
    <hyperlink ref="J30" r:id="rId33" xr:uid="{4D76EE30-1E91-401C-B70F-A38B37678332}"/>
    <hyperlink ref="J31" r:id="rId34" xr:uid="{BEA6CAC9-79AE-469A-9801-E80AB2625DF3}"/>
    <hyperlink ref="J37" r:id="rId35" xr:uid="{B6C17194-F886-44C2-9382-9E24B0D5DCAD}"/>
    <hyperlink ref="J38" r:id="rId36" xr:uid="{E0104C53-F6BF-4255-B121-D1D7EE1D82B8}"/>
    <hyperlink ref="J42" r:id="rId37" display="https://www.kaiserkraft.de/schraenke/werkstattschraenke/stahlschrank-nilas/mit-4-fachboeden/p/M20441365/?articleNumber=803758&amp;customerType=B2C&amp;utm_source=google&amp;utm_medium=cpc&amp;utm_campaign=PM_Cupboards&amp;utm_content=&amp;utm_term=&amp;infinity=ict2~net~gaw~cmp~PM_Cupboards~ag~~ar~~kw~~mt~&amp;gad_source=1&amp;gad_campaignid=21432098636&amp;gbraid=0AAAAADETXW3npLaeQ20cCSBPDVK9USm3k&amp;gclid=CjwKCAjwup3HBhAAEiwA7euZujOR3NLEKpUEVK2gfMsGG7NNlJkIhvgvMGKM6vSJPcqJ8IHAJliSNxoCCAsQAvD_BwE" xr:uid="{E8AA65BF-B4EB-4122-913F-C88A36B8A766}"/>
    <hyperlink ref="J43" r:id="rId38" display="https://www.schaefer-shop.de/p/stahlschrank-2-oh-2-hoehenverstellbare-einlegeboeden-drehzylinderschloss-b-916-x-t-422-x-h-1000-mm-wahlweise-lichtgrau-ral-7035-lichtgrau-ral-7035-oder-lichtgrau-ral-7035-enzianblau-ral-5010?selectedItem=464506&amp;cc=A147001&amp;fprofile=b2c&amp;alw=1-3093-3271_464506_aff&amp;utm_medium=affiliate&amp;utm_campaign=915303&amp;sv1=affiliate&amp;sv_campaign_id=915303&amp;awc=11479_1760039504_409a799a19d258639242abf396e8aabb" xr:uid="{15E2D81A-691F-427C-8BEA-7D764040E8E8}"/>
    <hyperlink ref="J44" r:id="rId39" display="https://www.kaiserkraft.de/regale/fachbodenregale/lagerregal-lagan/regalhoehe-1800-mm/p/M20147794/?articleNumber=527278&amp;customerType=B2C&amp;utm_source=google&amp;utm_medium=cpc&amp;utm_campaign=PM_Shelving-Storage&amp;utm_content=&amp;utm_term=&amp;infinity=ict2~net~gaw~cmp~PM_Shelving-Storage~ag~~ar~~kw~~mt~&amp;gad_source=1&amp;gad_campaignid=22872048947&amp;gbraid=0AAAAADETXW3F0rTbmTVsmxb-zJCJI9Ul0&amp;gclid=CjwKCAjwup3HBhAAEiwA7euZuujgrH0ghpHYB2kZ7JNBknHdFCm3u0-HMxN0Gq-_I_oDry4IIqjrFxoCUtAQAvD_BwE" xr:uid="{4867D733-01AC-4D26-A30B-CD54657E0F98}"/>
    <hyperlink ref="J45" r:id="rId40" xr:uid="{406FC309-D67E-40D7-B148-EA1C9DF9C4BF}"/>
    <hyperlink ref="J34" r:id="rId41" display="https://www.amazon.de/Fellowes-5306114-ImageLast-Laminierfolien-transparent/dp/B001BS1IIS/ref=sr_1_7?__mk_de_DE=%C3%85M%C3%85%C5%BD%C3%95%C3%91&amp;crid=MECKASQZFPKN&amp;dib=eyJ2IjoiMSJ9.tVexFUYk9YPej9uI-BYMmKvhgfXOadfVBUFWqXNktWZCcq-MrZW93ekZAmXmNtgWW7heFa5Ou417UacQh_VBsp10TbsjVuw8QZKnSKjgl5z5yF7jX-ufaQlwF1ytCR4KttbbmxFrNg2jcuUXaPdC0ewdRcmvO-8YPVOcjSyiWAKMs-7btZfdXb4UaaX1FdkTfdqi6QiaO2AtgN0wdjLEJr5apqe8D_YJOK5O7a9fT4rabCS_fYpTfg3v5sacauf44tmuZk_Ywa8fqGRetpFWYkBHmo36EOKzTQyyCiAYWPg.dZ168QgMFJahnB1vBNULnRMY6Vl1eCxzNz-stL_SaCw&amp;dib_tag=se&amp;keywords=laminierfolie&amp;qid=1760084571&amp;sprefix=laminierfolie%2Caps%2C87&amp;sr=8-7&amp;th=1" xr:uid="{21552ABA-0374-4EE9-A372-6FC2B08F0D00}"/>
    <hyperlink ref="J35" r:id="rId42" display="https://www.amazon.de/Fellowes-ImageLast-Laminierfolien-Mikron-100er/dp/B000NJUWM4/ref=sr_1_9?__mk_de_DE=%C3%85M%C3%85%C5%BD%C3%95%C3%91&amp;crid=3GI9IKHNQWLJ5&amp;dib=eyJ2IjoiMSJ9.hVkxiByf3ZYC-Vwwds4wjNN2A9Cszg3gMSgIb2OURsDvZ74twlGm6AdEOj9LZgegE4ESSPcjuASQu0MNAmKeq2mBsf1YihOHDgi002BEJu_NSWcmsYTXL3JVla_yCf8P0H3W6uCvkwX9mcMGSRvYHGV9U7rj5HyM8uFHPFKsczYALtUDe78BTqS2dGmKzFNLCFim_cX3lwmiE6HR4ZZ9MY1nWHX_3khUCWAOA5anX0S4yXKDI2jQHEl9LIS-pCkbNngDRZj1CP5kKCLIskb5CX4Iuw4o8U7QrcJ975QUeRw.j4avS3Powpwy8BWWl9MDxRZAOOZqiCWchBnijrERJZA&amp;dib_tag=se&amp;keywords=laminierfolie%2BA3&amp;qid=1760084660&amp;sprefix=laminierfolie%2Ba3%2Caps%2C82&amp;sr=8-9&amp;th=1" xr:uid="{72F089B0-B5E9-4A63-97FB-58E3A73258FB}"/>
    <hyperlink ref="J9" r:id="rId43" display="https://www.amazon.de/-/en/Philips-Senseo-Maestro-Coffee-Machine/dp/B0B9NR4TJR/ref=sr_1_1?crid=18QBZIJ7YFOGA&amp;dib=eyJ2IjoiMSJ9.PfJ_Ge-gKNEov9XO6piDjmATsn2RN5vy8EZV3IqtWj3t2DijzRSdsU_2yyHCHNDKMQJVdv-wAZTf3xfrU5PIGuLyEtl2Ts83Z1NZTUyq7AFGQ3wmp8iX5jsDbF9gBBpdlkRKMtsqR9bW_YbmDVgH6xg4hz6HJQqQISp60wmLXbfICQVjgwpKW77-CEvOVcjiSHAUTf8XWnym7CnZlgILOqKgusNUqTCcNGQGaexCkR8.aBYCS62srgzEQKjy4S86k5lBBP2Z54IAsO3Ed2DQyhM&amp;dib_tag=se&amp;keywords=Philips+Senseo+Maestro+Coffee+Pod+Machine+-+Intense+Plus+Technology%2C+High-Quality+Espresso+Quality%2C+Environmentally+Friendly+Design%2C+1.2+L+Water+Tank%2C+Memo+Function%2C+Descaling+Indicator+%28CSA260%2F60%29&amp;qid=1760445146&amp;sprefix=philips+senseo+maestro+coffee+pod+machine+-+intense+plus+technology+high-quality+espresso+quality+environmentally+friendly+design+1.2+l+water+tank+memo+function+descaling+indicator+csa260%2F60+%2Caps%2C111&amp;sr=8-1&amp;language=de_DE" xr:uid="{7869E188-B1F5-4826-83FE-D7002A7D9BCD}"/>
    <hyperlink ref="J167" r:id="rId44" display="https://www.metro.de/marktplatz/product/6f2c525f-32e5-4efb-a073-d790b5440648?mfeed_oid=f6ec19b0-939c-442b-96f0-2668d4af8668&amp;mfeed_bm=1&amp;utm_source=google&amp;utm_medium=cpc&amp;utm_campaign=de_mm_ag_shopping_all_standard_all_b2c_feed_brand&amp;gad_source=1&amp;gad_campaignid=22549537188&amp;gbraid=0AAAAACqaXxYRNYgVJoj1dsFO2DtiYh3t1&amp;gclid=EAIaIQobChMI8eL3xKmokAMVPZWDBx1M8iBpEAQYASABEgIEcPD_BwE&amp;itm_pm=cookie_consent_accept_button" xr:uid="{5D4D1B70-E5FD-4B36-83CC-3C646C429987}"/>
    <hyperlink ref="J170" r:id="rId45" xr:uid="{F5FEDF08-C293-4B9C-ABB5-504D6E2BB0D4}"/>
    <hyperlink ref="J150" r:id="rId46" xr:uid="{71A011D0-4254-4211-A910-3780C638B42A}"/>
    <hyperlink ref="J151" r:id="rId47" xr:uid="{DAC7A2BE-5B1D-49D7-B911-507177059DC5}"/>
    <hyperlink ref="J168" r:id="rId48" display="https://www.metro.de/marktplatz/product/c3c7cf57-084a-4a94-9874-4bc0ec07e552?mfeed_oid=667aa3a6-c609-4286-abba-da6bbf9c352f&amp;mfeed_bm=1&amp;utm_source=google&amp;utm_medium=cpc&amp;utm_campaign=de_mm_ag_pmax_all_dynamic_all_b2c_feed_high&amp;gad_source=1&amp;gad_campaignid=20948705910&amp;gbraid=0AAAAACqaXxbAGi320xBmljxQ13PAKAZLL&amp;gclid=EAIaIQobChMI38Kly6-okAMV8qaDBx1Mvy5NEAQYAiABEgKDDfD_BwE" xr:uid="{550BBED2-FAFC-4921-B61C-85F360E01815}"/>
    <hyperlink ref="J169" r:id="rId49" xr:uid="{AB70EF3E-1878-46FD-A874-31D309F4A8BA}"/>
    <hyperlink ref="J149" r:id="rId50" display="https://www.metro.de/marktplatz/product/f7b2c4e6-e772-456f-bea5-d71286387ad6?mfeed_oid=59cd58f1-1ff3-4f40-bb2f-82f17a4909de&amp;mfeed_bm=1&amp;utm_source=google&amp;utm_medium=cpc&amp;utm_campaign=de_mm_ag_shopping_all_standard_all_b2c_feed_brand&amp;gad_source=1&amp;gad_campaignid=22549537188&amp;gbraid=0AAAAACqaXxZ3ZlsSpDszjkkHtVxzVBwAt&amp;gclid=EAIaIQobChMIxMWevLOokAMVuICDBx1LbBZ1EAQYASABEgLxt_D_BwE" xr:uid="{DF83C4EF-994D-400C-A53A-7BB0D20933CD}"/>
    <hyperlink ref="J65" r:id="rId51" xr:uid="{85051AF9-9A12-44DE-85C1-E406D6955985}"/>
    <hyperlink ref="J186" r:id="rId52" display="https://www.amazon.de/KTC-EDLA-Zertifiziert-Lautsprecher-A32Q7-Pro/dp/B0DWNC1573/ref=sr_1_3?__mk_de_DE=%C3%85M%C3%85%C5%BD%C3%95%C3%91&amp;crid=1ISKTSY7EP3M0&amp;dib=eyJ2IjoiMSJ9.cxjCIAHtwti7PYoM354XX13DqAM81CMzSzOq6Ux0uezGjHj071QN20LucGBJIEps.dDQHOBtabn088tp3BsHAYS-xbRg_yBNKtLv7oXkxDg0&amp;dib_tag=se&amp;keywords=KTC%2BA32Q7%2BPro&amp;qid=1759932244&amp;sprefix=ktc%2Ba32q7%2Bpro%2Caps%2C149&amp;sr=8-3&amp;th=1 " xr:uid="{8726E126-FFC9-4399-9CAC-A6915ED5D68D}"/>
    <hyperlink ref="J60" r:id="rId53" display="https://www.conrad.de/de/p/asus-zenwifi-bq16-3er-wlan-router-2-4-ghz-5-ghz-6-ghz-3415093.html?hk=SEM&amp;WT.mc_id=google_pla&amp;qwer=Cj0KCQjwjL3HBhCgARIsAPUg7a59QXutxynw2ztd1LJ8RHcjGAAm7uz5Pq_R_ysF9NO-18_O8gNO3x8aApH_EALw_wcB&amp;utm_source=google&amp;utm_medium=cpc&amp;utm_campaign=DE+-+PMAX+-" xr:uid="{1A1EF378-4FA5-467B-8333-7F77B3A731B9}"/>
    <hyperlink ref="J58" r:id="rId54" xr:uid="{39D4FFD4-7ADF-47E6-9FD6-1E04CC234176}"/>
    <hyperlink ref="J52" r:id="rId55" location="ech=29343682" xr:uid="{894B39F1-7AC4-42CD-B362-7F97ED59EC4B}"/>
    <hyperlink ref="J53" r:id="rId56" location="variationId=S0F0S0NLA2M0" xr:uid="{1ABF285D-30F7-43EC-A8BF-02868FEF4CC9}"/>
    <hyperlink ref="J98" r:id="rId57" xr:uid="{318BB64B-CD85-4F22-9AB5-F96FB56B9E01}"/>
    <hyperlink ref="J100" r:id="rId58" xr:uid="{D4D01E61-D439-4DED-B1B5-AEC790B88357}"/>
    <hyperlink ref="J101" r:id="rId59" location="reviewBar" xr:uid="{668339C8-2494-4992-B51A-69C5D804AA29}"/>
    <hyperlink ref="J70" r:id="rId60" xr:uid="{17EBF456-0FCE-46EE-B078-E65EFB0CECC0}"/>
    <hyperlink ref="J71" r:id="rId61" xr:uid="{41C91875-0D5C-49BA-A273-A6AC83A01061}"/>
    <hyperlink ref="J69" r:id="rId62" xr:uid="{ADE981EC-CFB2-435F-B456-289B598B1B08}"/>
    <hyperlink ref="J68" r:id="rId63" xr:uid="{81B0DE33-BDA9-4A29-A34A-79160E8125EA}"/>
    <hyperlink ref="J72" r:id="rId64" xr:uid="{0D60B257-1646-44E8-B10E-1E01718E973D}"/>
    <hyperlink ref="J103" r:id="rId65" xr:uid="{C1F9B50A-576A-40E2-B7EE-D529EDB3E1E6}"/>
    <hyperlink ref="J104" r:id="rId66" xr:uid="{1EB80173-9789-424C-B3BB-537A794288EB}"/>
    <hyperlink ref="J105" r:id="rId67" xr:uid="{E1615C79-FC13-4EE0-83C1-51AFD3EA098B}"/>
    <hyperlink ref="J110" r:id="rId68" xr:uid="{497F15E2-9FCC-45B5-9419-5AC277505EFA}"/>
    <hyperlink ref="J123" r:id="rId69" xr:uid="{4DDFDC64-A020-45E9-8590-BA17C3802AC4}"/>
    <hyperlink ref="J135" r:id="rId70" xr:uid="{9B91434A-0247-4381-A884-EFFAE7F2E49E}"/>
    <hyperlink ref="J182" r:id="rId71" xr:uid="{F0BCC092-C4E8-46D7-9BB9-B5050781CC3F}"/>
    <hyperlink ref="J117" r:id="rId72" xr:uid="{C6446212-2065-40E2-A2FA-643854CA2295}"/>
    <hyperlink ref="J118" r:id="rId73" xr:uid="{89EB9843-EFCA-48CF-8584-0D088390DABA}"/>
    <hyperlink ref="J131" r:id="rId74" xr:uid="{4E51D2D1-AF51-4DA7-9F8C-372A4219E3C6}"/>
    <hyperlink ref="J138" r:id="rId75" xr:uid="{F9E495FF-D1BB-456E-9336-C6E71F6A29AA}"/>
    <hyperlink ref="J139" r:id="rId76" xr:uid="{09DBF8ED-37BD-4935-A36C-B94C5E4FEF52}"/>
    <hyperlink ref="J140" r:id="rId77" xr:uid="{EDAA29C0-3CCA-40F9-BF14-9BCF4674022A}"/>
    <hyperlink ref="J141" r:id="rId78" xr:uid="{D9972DC3-5813-4FB2-BB49-609D4B4C8586}"/>
    <hyperlink ref="J142" r:id="rId79" xr:uid="{06596314-5C8A-439D-B1A9-087F7C84EB98}"/>
    <hyperlink ref="J143" r:id="rId80" xr:uid="{C8E949D4-D7F1-46DD-AE52-12E06CA946D3}"/>
    <hyperlink ref="J144" r:id="rId81" xr:uid="{D72908AD-17C0-4B6E-90EB-2914323601F0}"/>
    <hyperlink ref="J132" r:id="rId82" xr:uid="{1EB099B2-2CF6-4C09-904F-A7285B445DDA}"/>
    <hyperlink ref="J136" r:id="rId83" xr:uid="{18984F35-8FD5-431C-A917-4A8822A8EB16}"/>
    <hyperlink ref="J134" r:id="rId84" xr:uid="{ED882A9B-FFEC-40F5-B1E5-59D7913CCA3F}"/>
    <hyperlink ref="J128" r:id="rId85" xr:uid="{371BDD98-81CF-4EA4-A365-56D830BFB016}"/>
    <hyperlink ref="J127" r:id="rId86" xr:uid="{93FDEA57-0F32-40E1-820F-F14D3773E803}"/>
    <hyperlink ref="J126" r:id="rId87" xr:uid="{CBCD1F19-1B6F-4B0F-BE65-D9459BC0B07F}"/>
    <hyperlink ref="J129" r:id="rId88" xr:uid="{96034C70-96C1-4063-9092-35B952DD43CB}"/>
    <hyperlink ref="J130" r:id="rId89" xr:uid="{DA24FF06-E8CF-458F-B403-6B9D50CAA6ED}"/>
    <hyperlink ref="J121" r:id="rId90" xr:uid="{F3705A90-B607-4127-A01D-761447FD869F}"/>
    <hyperlink ref="J122" r:id="rId91" xr:uid="{C5E6C2DA-17D9-4F89-877B-4B9E96D2A015}"/>
    <hyperlink ref="J120" r:id="rId92" xr:uid="{256F3803-A488-495F-A1AE-17A54224DD5F}"/>
    <hyperlink ref="J119" r:id="rId93" xr:uid="{2E0EBE5B-0A73-4E7B-A3E9-EDB608735D43}"/>
    <hyperlink ref="J4" r:id="rId94" xr:uid="{94A90266-A124-47D2-BE1C-F4EACF1DBFA8}"/>
    <hyperlink ref="J3" r:id="rId95" xr:uid="{3407C11F-7E8E-467C-8B93-BD21244F8F35}"/>
  </hyperlinks>
  <pageMargins left="0.25" right="0.25" top="0.75" bottom="0.75" header="0.3" footer="0.3"/>
  <pageSetup paperSize="8" scale="16" fitToHeight="0" orientation="landscape" r:id="rId96"/>
  <ignoredErrors>
    <ignoredError sqref="A19:A22 A15:A18 A196:A199 A111 A23:A50" twoDigitTextYear="1"/>
  </ignoredErrors>
  <legacyDrawing r:id="rId9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8"/>
  <sheetViews>
    <sheetView workbookViewId="0">
      <selection activeCell="B38" sqref="B38"/>
    </sheetView>
  </sheetViews>
  <sheetFormatPr baseColWidth="10" defaultColWidth="9.1796875" defaultRowHeight="14.5" x14ac:dyDescent="0.35"/>
  <cols>
    <col min="2" max="2" width="22.7265625" bestFit="1" customWidth="1"/>
    <col min="3" max="3" width="26.81640625" bestFit="1" customWidth="1"/>
    <col min="4" max="4" width="21.453125" bestFit="1" customWidth="1"/>
    <col min="5" max="5" width="14" bestFit="1" customWidth="1"/>
    <col min="6" max="6" width="33.1796875" customWidth="1"/>
    <col min="7" max="7" width="7" bestFit="1" customWidth="1"/>
    <col min="8" max="8" width="22.81640625" bestFit="1" customWidth="1"/>
    <col min="9" max="9" width="116.1796875" hidden="1" customWidth="1"/>
    <col min="10" max="10" width="17.453125" bestFit="1" customWidth="1"/>
    <col min="11" max="11" width="18.1796875" bestFit="1" customWidth="1"/>
    <col min="12" max="12" width="19" bestFit="1" customWidth="1"/>
    <col min="13" max="13" width="19.7265625" bestFit="1" customWidth="1"/>
    <col min="18" max="18" width="11" bestFit="1" customWidth="1"/>
  </cols>
  <sheetData>
    <row r="1" spans="1:18" x14ac:dyDescent="0.35">
      <c r="J1" s="1"/>
      <c r="L1" s="1"/>
      <c r="N1" s="1"/>
      <c r="O1" s="6"/>
    </row>
    <row r="2" spans="1:18" x14ac:dyDescent="0.35">
      <c r="A2" s="67" t="s">
        <v>34</v>
      </c>
      <c r="B2" s="67" t="s">
        <v>10</v>
      </c>
      <c r="C2" s="67" t="s">
        <v>11</v>
      </c>
      <c r="D2" s="67" t="s">
        <v>0</v>
      </c>
      <c r="E2" s="67" t="s">
        <v>1</v>
      </c>
      <c r="F2" s="67" t="s">
        <v>25</v>
      </c>
      <c r="G2" s="67" t="s">
        <v>2</v>
      </c>
      <c r="H2" s="67" t="s">
        <v>7</v>
      </c>
      <c r="I2" s="67" t="s">
        <v>8</v>
      </c>
      <c r="J2" s="67" t="s">
        <v>3</v>
      </c>
      <c r="K2" s="67" t="s">
        <v>4</v>
      </c>
      <c r="L2" s="67" t="s">
        <v>5</v>
      </c>
      <c r="M2" s="67" t="s">
        <v>6</v>
      </c>
      <c r="N2" s="67" t="s">
        <v>28</v>
      </c>
      <c r="O2" s="67" t="s">
        <v>32</v>
      </c>
      <c r="P2" s="67" t="s">
        <v>29</v>
      </c>
      <c r="Q2" s="67" t="s">
        <v>30</v>
      </c>
      <c r="R2" s="67" t="s">
        <v>31</v>
      </c>
    </row>
    <row r="3" spans="1:18" x14ac:dyDescent="0.35">
      <c r="A3" s="68"/>
      <c r="B3" s="68" t="s">
        <v>12</v>
      </c>
      <c r="C3" s="68" t="s">
        <v>13</v>
      </c>
      <c r="D3" s="68" t="s">
        <v>9</v>
      </c>
      <c r="E3" s="69" t="s">
        <v>14</v>
      </c>
      <c r="F3" s="70" t="s">
        <v>38</v>
      </c>
      <c r="G3" s="71">
        <v>4</v>
      </c>
      <c r="H3" s="68" t="s">
        <v>27</v>
      </c>
      <c r="I3" s="72" t="s">
        <v>26</v>
      </c>
      <c r="J3" s="73">
        <v>419.33</v>
      </c>
      <c r="K3" s="73">
        <v>499</v>
      </c>
      <c r="L3" s="73">
        <f>SUM(G3*J3)</f>
        <v>1677.32</v>
      </c>
      <c r="M3" s="73">
        <f>SUM(G3*K3)</f>
        <v>1996</v>
      </c>
      <c r="N3" s="68"/>
      <c r="O3" s="68"/>
      <c r="P3" s="68"/>
      <c r="Q3" s="68"/>
      <c r="R3" s="68"/>
    </row>
    <row r="4" spans="1:18" x14ac:dyDescent="0.35">
      <c r="A4" s="68"/>
      <c r="B4" s="68"/>
      <c r="C4" s="68"/>
      <c r="D4" s="68" t="s">
        <v>276</v>
      </c>
      <c r="E4" s="69" t="s">
        <v>277</v>
      </c>
      <c r="F4" s="70"/>
      <c r="G4" s="71">
        <v>4</v>
      </c>
      <c r="H4" s="68" t="s">
        <v>82</v>
      </c>
      <c r="I4" s="72" t="s">
        <v>278</v>
      </c>
      <c r="J4" s="73">
        <v>19.32</v>
      </c>
      <c r="K4" s="73"/>
      <c r="L4" s="73">
        <f>J4*G4</f>
        <v>77.28</v>
      </c>
      <c r="M4" s="73"/>
      <c r="N4" s="68"/>
      <c r="O4" s="68"/>
      <c r="P4" s="68"/>
      <c r="Q4" s="68"/>
      <c r="R4" s="68"/>
    </row>
    <row r="5" spans="1:18" x14ac:dyDescent="0.35">
      <c r="A5" s="68"/>
      <c r="B5" s="68"/>
      <c r="C5" s="68"/>
      <c r="D5" s="68" t="s">
        <v>279</v>
      </c>
      <c r="E5" s="69" t="s">
        <v>280</v>
      </c>
      <c r="F5" s="70"/>
      <c r="G5" s="71">
        <v>4</v>
      </c>
      <c r="H5" s="68" t="s">
        <v>281</v>
      </c>
      <c r="I5" s="72" t="s">
        <v>282</v>
      </c>
      <c r="J5" s="73"/>
      <c r="K5" s="73">
        <v>29.95</v>
      </c>
      <c r="L5" s="73"/>
      <c r="M5" s="73">
        <f>K5*G5</f>
        <v>119.8</v>
      </c>
      <c r="N5" s="68"/>
      <c r="O5" s="68"/>
      <c r="P5" s="68"/>
      <c r="Q5" s="68"/>
      <c r="R5" s="68"/>
    </row>
    <row r="6" spans="1:18" x14ac:dyDescent="0.35">
      <c r="A6" s="68"/>
      <c r="B6" s="68"/>
      <c r="C6" s="68"/>
      <c r="D6" s="68" t="s">
        <v>36</v>
      </c>
      <c r="E6" s="69"/>
      <c r="F6" s="70"/>
      <c r="G6" s="68">
        <v>1</v>
      </c>
      <c r="H6" s="68"/>
      <c r="I6" s="72"/>
      <c r="J6" s="73"/>
      <c r="K6" s="73"/>
      <c r="L6" s="73"/>
      <c r="M6" s="73"/>
      <c r="N6" s="68"/>
      <c r="O6" s="68"/>
      <c r="P6" s="68"/>
      <c r="Q6" s="68"/>
      <c r="R6" s="68"/>
    </row>
    <row r="7" spans="1:18" x14ac:dyDescent="0.35">
      <c r="A7" s="68"/>
      <c r="B7" s="68"/>
      <c r="C7" s="68"/>
      <c r="D7" s="68" t="s">
        <v>37</v>
      </c>
      <c r="E7" s="69"/>
      <c r="F7" s="70"/>
      <c r="G7" s="68">
        <v>10</v>
      </c>
      <c r="H7" s="68"/>
      <c r="I7" s="72"/>
      <c r="J7" s="73"/>
      <c r="K7" s="73"/>
      <c r="L7" s="73"/>
      <c r="M7" s="73"/>
      <c r="N7" s="68"/>
      <c r="O7" s="68"/>
      <c r="P7" s="68"/>
      <c r="Q7" s="68"/>
      <c r="R7" s="68"/>
    </row>
    <row r="8" spans="1:18" x14ac:dyDescent="0.35">
      <c r="A8" s="68"/>
      <c r="B8" s="68" t="s">
        <v>15</v>
      </c>
      <c r="C8" s="68" t="s">
        <v>18</v>
      </c>
      <c r="D8" s="68" t="s">
        <v>9</v>
      </c>
      <c r="E8" s="69" t="s">
        <v>14</v>
      </c>
      <c r="F8" s="70" t="s">
        <v>38</v>
      </c>
      <c r="G8" s="71">
        <v>3</v>
      </c>
      <c r="H8" s="68" t="s">
        <v>27</v>
      </c>
      <c r="I8" s="68" t="s">
        <v>35</v>
      </c>
      <c r="J8" s="73"/>
      <c r="K8" s="73">
        <v>379</v>
      </c>
      <c r="L8" s="73">
        <f t="shared" ref="L8:L58" si="0">SUM(G8*J8)</f>
        <v>0</v>
      </c>
      <c r="M8" s="73">
        <f t="shared" ref="M8:M28" si="1">SUM(G8*K8)</f>
        <v>1137</v>
      </c>
      <c r="N8" s="68"/>
      <c r="O8" s="68"/>
      <c r="P8" s="68"/>
      <c r="Q8" s="68"/>
      <c r="R8" s="68"/>
    </row>
    <row r="9" spans="1:18" x14ac:dyDescent="0.35">
      <c r="A9" s="68"/>
      <c r="B9" s="68"/>
      <c r="C9" s="68"/>
      <c r="D9" s="68" t="s">
        <v>276</v>
      </c>
      <c r="E9" s="69" t="s">
        <v>277</v>
      </c>
      <c r="F9" s="70"/>
      <c r="G9" s="71">
        <v>3</v>
      </c>
      <c r="H9" s="68" t="s">
        <v>82</v>
      </c>
      <c r="I9" s="72" t="s">
        <v>278</v>
      </c>
      <c r="J9" s="73">
        <v>19.32</v>
      </c>
      <c r="K9" s="73"/>
      <c r="L9" s="73">
        <f>J9*G9</f>
        <v>57.96</v>
      </c>
      <c r="M9" s="73"/>
      <c r="N9" s="68"/>
      <c r="O9" s="68"/>
      <c r="P9" s="68"/>
      <c r="Q9" s="68"/>
      <c r="R9" s="68"/>
    </row>
    <row r="10" spans="1:18" x14ac:dyDescent="0.35">
      <c r="A10" s="68"/>
      <c r="B10" s="68"/>
      <c r="C10" s="68"/>
      <c r="D10" s="68" t="s">
        <v>279</v>
      </c>
      <c r="E10" s="69" t="s">
        <v>280</v>
      </c>
      <c r="F10" s="70"/>
      <c r="G10" s="71">
        <v>3</v>
      </c>
      <c r="H10" s="68" t="s">
        <v>281</v>
      </c>
      <c r="I10" s="72" t="s">
        <v>282</v>
      </c>
      <c r="J10" s="73"/>
      <c r="K10" s="73">
        <v>29.95</v>
      </c>
      <c r="L10" s="73"/>
      <c r="M10" s="73">
        <f>K10*G10</f>
        <v>89.85</v>
      </c>
      <c r="N10" s="68"/>
      <c r="O10" s="68"/>
      <c r="P10" s="68"/>
      <c r="Q10" s="68"/>
      <c r="R10" s="68"/>
    </row>
    <row r="11" spans="1:18" x14ac:dyDescent="0.35">
      <c r="A11" s="69"/>
      <c r="B11" s="68"/>
      <c r="C11" s="68"/>
      <c r="D11" s="68" t="s">
        <v>36</v>
      </c>
      <c r="E11" s="69"/>
      <c r="F11" s="70"/>
      <c r="G11" s="68">
        <v>1</v>
      </c>
      <c r="H11" s="68"/>
      <c r="I11" s="68"/>
      <c r="J11" s="73"/>
      <c r="K11" s="73"/>
      <c r="L11" s="73"/>
      <c r="M11" s="73"/>
      <c r="N11" s="68"/>
      <c r="O11" s="68"/>
      <c r="P11" s="68"/>
      <c r="Q11" s="68"/>
      <c r="R11" s="68"/>
    </row>
    <row r="12" spans="1:18" x14ac:dyDescent="0.35">
      <c r="A12" s="69"/>
      <c r="B12" s="68"/>
      <c r="C12" s="68"/>
      <c r="D12" s="68" t="s">
        <v>37</v>
      </c>
      <c r="E12" s="69"/>
      <c r="F12" s="70"/>
      <c r="G12" s="68">
        <v>10</v>
      </c>
      <c r="H12" s="68"/>
      <c r="I12" s="68"/>
      <c r="J12" s="73"/>
      <c r="K12" s="73"/>
      <c r="L12" s="73"/>
      <c r="M12" s="73"/>
      <c r="N12" s="68"/>
      <c r="O12" s="68"/>
      <c r="P12" s="68"/>
      <c r="Q12" s="68"/>
      <c r="R12" s="68"/>
    </row>
    <row r="13" spans="1:18" x14ac:dyDescent="0.35">
      <c r="A13" s="68"/>
      <c r="B13" s="68" t="s">
        <v>16</v>
      </c>
      <c r="C13" s="68" t="s">
        <v>19</v>
      </c>
      <c r="D13" s="68" t="s">
        <v>9</v>
      </c>
      <c r="E13" s="69" t="s">
        <v>14</v>
      </c>
      <c r="F13" s="70" t="s">
        <v>38</v>
      </c>
      <c r="G13" s="71">
        <v>2</v>
      </c>
      <c r="H13" s="68" t="s">
        <v>27</v>
      </c>
      <c r="I13" s="68" t="s">
        <v>35</v>
      </c>
      <c r="J13" s="73"/>
      <c r="K13" s="73"/>
      <c r="L13" s="73">
        <f t="shared" si="0"/>
        <v>0</v>
      </c>
      <c r="M13" s="73">
        <f t="shared" si="1"/>
        <v>0</v>
      </c>
      <c r="N13" s="68"/>
      <c r="O13" s="68"/>
      <c r="P13" s="68"/>
      <c r="Q13" s="68"/>
      <c r="R13" s="68"/>
    </row>
    <row r="14" spans="1:18" x14ac:dyDescent="0.35">
      <c r="A14" s="68"/>
      <c r="B14" s="68"/>
      <c r="C14" s="68"/>
      <c r="D14" s="68" t="s">
        <v>276</v>
      </c>
      <c r="E14" s="69" t="s">
        <v>277</v>
      </c>
      <c r="F14" s="70"/>
      <c r="G14" s="71">
        <v>2</v>
      </c>
      <c r="H14" s="68" t="s">
        <v>82</v>
      </c>
      <c r="I14" s="72" t="s">
        <v>278</v>
      </c>
      <c r="J14" s="73">
        <v>19.32</v>
      </c>
      <c r="K14" s="73"/>
      <c r="L14" s="73">
        <f>J14*G14</f>
        <v>38.64</v>
      </c>
      <c r="M14" s="73"/>
      <c r="N14" s="68"/>
      <c r="O14" s="68"/>
      <c r="P14" s="68"/>
      <c r="Q14" s="68"/>
      <c r="R14" s="68"/>
    </row>
    <row r="15" spans="1:18" x14ac:dyDescent="0.35">
      <c r="A15" s="68"/>
      <c r="B15" s="68"/>
      <c r="C15" s="68"/>
      <c r="D15" s="68" t="s">
        <v>279</v>
      </c>
      <c r="E15" s="69" t="s">
        <v>280</v>
      </c>
      <c r="F15" s="70"/>
      <c r="G15" s="71">
        <v>2</v>
      </c>
      <c r="H15" s="68" t="s">
        <v>281</v>
      </c>
      <c r="I15" s="72" t="s">
        <v>282</v>
      </c>
      <c r="J15" s="73"/>
      <c r="K15" s="73">
        <v>29.95</v>
      </c>
      <c r="L15" s="73"/>
      <c r="M15" s="73">
        <f>K15*G15</f>
        <v>59.9</v>
      </c>
      <c r="N15" s="68"/>
      <c r="O15" s="68"/>
      <c r="P15" s="68"/>
      <c r="Q15" s="68"/>
      <c r="R15" s="68"/>
    </row>
    <row r="16" spans="1:18" x14ac:dyDescent="0.35">
      <c r="A16" s="68"/>
      <c r="B16" s="68"/>
      <c r="C16" s="68"/>
      <c r="D16" s="68" t="s">
        <v>36</v>
      </c>
      <c r="E16" s="69"/>
      <c r="F16" s="70"/>
      <c r="G16" s="68">
        <v>1</v>
      </c>
      <c r="H16" s="68"/>
      <c r="I16" s="68"/>
      <c r="J16" s="73"/>
      <c r="K16" s="73"/>
      <c r="L16" s="73"/>
      <c r="M16" s="73"/>
      <c r="N16" s="68"/>
      <c r="O16" s="68"/>
      <c r="P16" s="68"/>
      <c r="Q16" s="68"/>
      <c r="R16" s="68"/>
    </row>
    <row r="17" spans="1:18" x14ac:dyDescent="0.35">
      <c r="A17" s="68"/>
      <c r="B17" s="68"/>
      <c r="C17" s="68"/>
      <c r="D17" s="68" t="s">
        <v>37</v>
      </c>
      <c r="E17" s="69"/>
      <c r="F17" s="70"/>
      <c r="G17" s="68">
        <v>10</v>
      </c>
      <c r="H17" s="68"/>
      <c r="I17" s="68"/>
      <c r="J17" s="73"/>
      <c r="K17" s="73"/>
      <c r="L17" s="73"/>
      <c r="M17" s="73"/>
      <c r="N17" s="68"/>
      <c r="O17" s="68"/>
      <c r="P17" s="68"/>
      <c r="Q17" s="68"/>
      <c r="R17" s="68"/>
    </row>
    <row r="18" spans="1:18" x14ac:dyDescent="0.35">
      <c r="A18" s="68"/>
      <c r="B18" s="68" t="s">
        <v>17</v>
      </c>
      <c r="C18" s="68" t="s">
        <v>20</v>
      </c>
      <c r="D18" s="68" t="s">
        <v>9</v>
      </c>
      <c r="E18" s="69" t="s">
        <v>14</v>
      </c>
      <c r="F18" s="70" t="s">
        <v>38</v>
      </c>
      <c r="G18" s="71">
        <v>4</v>
      </c>
      <c r="H18" s="68" t="s">
        <v>27</v>
      </c>
      <c r="I18" s="68" t="s">
        <v>26</v>
      </c>
      <c r="J18" s="73">
        <v>419.33</v>
      </c>
      <c r="K18" s="73">
        <v>499</v>
      </c>
      <c r="L18" s="73">
        <f t="shared" si="0"/>
        <v>1677.32</v>
      </c>
      <c r="M18" s="73">
        <f t="shared" si="1"/>
        <v>1996</v>
      </c>
      <c r="N18" s="68"/>
      <c r="O18" s="68"/>
      <c r="P18" s="68"/>
      <c r="Q18" s="68"/>
      <c r="R18" s="68"/>
    </row>
    <row r="19" spans="1:18" x14ac:dyDescent="0.35">
      <c r="A19" s="68"/>
      <c r="B19" s="68"/>
      <c r="C19" s="68"/>
      <c r="D19" s="68" t="s">
        <v>276</v>
      </c>
      <c r="E19" s="69" t="s">
        <v>277</v>
      </c>
      <c r="F19" s="70"/>
      <c r="G19" s="71">
        <v>4</v>
      </c>
      <c r="H19" s="68" t="s">
        <v>82</v>
      </c>
      <c r="I19" s="72" t="s">
        <v>278</v>
      </c>
      <c r="J19" s="73">
        <v>19.32</v>
      </c>
      <c r="K19" s="73"/>
      <c r="L19" s="73">
        <f>J19*G19</f>
        <v>77.28</v>
      </c>
      <c r="M19" s="73"/>
      <c r="N19" s="68"/>
      <c r="O19" s="68"/>
      <c r="P19" s="68"/>
      <c r="Q19" s="68"/>
      <c r="R19" s="68"/>
    </row>
    <row r="20" spans="1:18" x14ac:dyDescent="0.35">
      <c r="A20" s="68"/>
      <c r="B20" s="68"/>
      <c r="C20" s="68"/>
      <c r="D20" s="68" t="s">
        <v>279</v>
      </c>
      <c r="E20" s="69" t="s">
        <v>280</v>
      </c>
      <c r="F20" s="70"/>
      <c r="G20" s="71">
        <v>4</v>
      </c>
      <c r="H20" s="68" t="s">
        <v>281</v>
      </c>
      <c r="I20" s="72" t="s">
        <v>282</v>
      </c>
      <c r="J20" s="73"/>
      <c r="K20" s="73">
        <v>29.95</v>
      </c>
      <c r="L20" s="73"/>
      <c r="M20" s="73">
        <f>K20*G20</f>
        <v>119.8</v>
      </c>
      <c r="N20" s="68"/>
      <c r="O20" s="68"/>
      <c r="P20" s="68"/>
      <c r="Q20" s="68"/>
      <c r="R20" s="68"/>
    </row>
    <row r="21" spans="1:18" x14ac:dyDescent="0.35">
      <c r="A21" s="68"/>
      <c r="B21" s="68"/>
      <c r="C21" s="68"/>
      <c r="D21" s="68" t="s">
        <v>36</v>
      </c>
      <c r="E21" s="69"/>
      <c r="F21" s="70"/>
      <c r="G21" s="68">
        <v>1</v>
      </c>
      <c r="H21" s="68"/>
      <c r="I21" s="68"/>
      <c r="J21" s="73"/>
      <c r="K21" s="73"/>
      <c r="L21" s="73"/>
      <c r="M21" s="73"/>
      <c r="N21" s="68"/>
      <c r="O21" s="68"/>
      <c r="P21" s="68"/>
      <c r="Q21" s="68"/>
      <c r="R21" s="68"/>
    </row>
    <row r="22" spans="1:18" x14ac:dyDescent="0.35">
      <c r="A22" s="68"/>
      <c r="B22" s="68"/>
      <c r="C22" s="68"/>
      <c r="D22" s="68" t="s">
        <v>37</v>
      </c>
      <c r="E22" s="69"/>
      <c r="F22" s="70"/>
      <c r="G22" s="68">
        <v>10</v>
      </c>
      <c r="H22" s="68"/>
      <c r="I22" s="68"/>
      <c r="J22" s="73"/>
      <c r="K22" s="73"/>
      <c r="L22" s="73"/>
      <c r="M22" s="73"/>
      <c r="N22" s="68"/>
      <c r="O22" s="68"/>
      <c r="P22" s="68"/>
      <c r="Q22" s="68"/>
      <c r="R22" s="68"/>
    </row>
    <row r="23" spans="1:18" x14ac:dyDescent="0.35">
      <c r="A23" s="68"/>
      <c r="B23" s="68" t="s">
        <v>21</v>
      </c>
      <c r="C23" s="68" t="s">
        <v>22</v>
      </c>
      <c r="D23" s="68" t="s">
        <v>9</v>
      </c>
      <c r="E23" s="69" t="s">
        <v>14</v>
      </c>
      <c r="F23" s="70" t="s">
        <v>38</v>
      </c>
      <c r="G23" s="71">
        <v>2</v>
      </c>
      <c r="H23" s="68" t="s">
        <v>27</v>
      </c>
      <c r="I23" s="68" t="s">
        <v>26</v>
      </c>
      <c r="J23" s="73">
        <v>419.33</v>
      </c>
      <c r="K23" s="73">
        <v>499</v>
      </c>
      <c r="L23" s="73">
        <f t="shared" si="0"/>
        <v>838.66</v>
      </c>
      <c r="M23" s="73">
        <f t="shared" si="1"/>
        <v>998</v>
      </c>
      <c r="N23" s="68"/>
      <c r="O23" s="68"/>
      <c r="P23" s="68"/>
      <c r="Q23" s="68"/>
      <c r="R23" s="68"/>
    </row>
    <row r="24" spans="1:18" x14ac:dyDescent="0.35">
      <c r="A24" s="68"/>
      <c r="B24" s="68"/>
      <c r="C24" s="68"/>
      <c r="D24" s="68" t="s">
        <v>276</v>
      </c>
      <c r="E24" s="69" t="s">
        <v>277</v>
      </c>
      <c r="F24" s="70"/>
      <c r="G24" s="71">
        <v>2</v>
      </c>
      <c r="H24" s="68" t="s">
        <v>82</v>
      </c>
      <c r="I24" s="72" t="s">
        <v>278</v>
      </c>
      <c r="J24" s="73">
        <v>19.32</v>
      </c>
      <c r="K24" s="73"/>
      <c r="L24" s="73">
        <f>J24*G24</f>
        <v>38.64</v>
      </c>
      <c r="M24" s="73"/>
      <c r="N24" s="68"/>
      <c r="O24" s="68"/>
      <c r="P24" s="68"/>
      <c r="Q24" s="68"/>
      <c r="R24" s="68"/>
    </row>
    <row r="25" spans="1:18" x14ac:dyDescent="0.35">
      <c r="A25" s="68"/>
      <c r="B25" s="68"/>
      <c r="C25" s="68"/>
      <c r="D25" s="68" t="s">
        <v>279</v>
      </c>
      <c r="E25" s="69" t="s">
        <v>280</v>
      </c>
      <c r="F25" s="70"/>
      <c r="G25" s="71">
        <v>4</v>
      </c>
      <c r="H25" s="68" t="s">
        <v>281</v>
      </c>
      <c r="I25" s="72" t="s">
        <v>282</v>
      </c>
      <c r="J25" s="73"/>
      <c r="K25" s="73">
        <v>29.95</v>
      </c>
      <c r="L25" s="73"/>
      <c r="M25" s="73">
        <f>K25*G25</f>
        <v>119.8</v>
      </c>
      <c r="N25" s="68"/>
      <c r="O25" s="68"/>
      <c r="P25" s="68"/>
      <c r="Q25" s="68"/>
      <c r="R25" s="68"/>
    </row>
    <row r="26" spans="1:18" x14ac:dyDescent="0.35">
      <c r="A26" s="68"/>
      <c r="B26" s="68"/>
      <c r="C26" s="68"/>
      <c r="D26" s="68" t="s">
        <v>36</v>
      </c>
      <c r="E26" s="69"/>
      <c r="F26" s="70"/>
      <c r="G26" s="68">
        <v>1</v>
      </c>
      <c r="H26" s="68"/>
      <c r="I26" s="68"/>
      <c r="J26" s="73"/>
      <c r="K26" s="73"/>
      <c r="L26" s="73"/>
      <c r="M26" s="73"/>
      <c r="N26" s="68"/>
      <c r="O26" s="68"/>
      <c r="P26" s="68"/>
      <c r="Q26" s="68"/>
      <c r="R26" s="68"/>
    </row>
    <row r="27" spans="1:18" x14ac:dyDescent="0.35">
      <c r="A27" s="68"/>
      <c r="B27" s="68"/>
      <c r="C27" s="68"/>
      <c r="D27" s="68" t="s">
        <v>37</v>
      </c>
      <c r="E27" s="69"/>
      <c r="F27" s="70"/>
      <c r="G27" s="68">
        <v>10</v>
      </c>
      <c r="H27" s="68"/>
      <c r="I27" s="68"/>
      <c r="J27" s="73"/>
      <c r="K27" s="73"/>
      <c r="L27" s="73"/>
      <c r="M27" s="73"/>
      <c r="N27" s="68"/>
      <c r="O27" s="68"/>
      <c r="P27" s="68"/>
      <c r="Q27" s="68"/>
      <c r="R27" s="68"/>
    </row>
    <row r="28" spans="1:18" x14ac:dyDescent="0.35">
      <c r="A28" s="68"/>
      <c r="B28" s="68" t="s">
        <v>24</v>
      </c>
      <c r="C28" s="68" t="s">
        <v>23</v>
      </c>
      <c r="D28" s="68" t="s">
        <v>9</v>
      </c>
      <c r="E28" s="69" t="s">
        <v>14</v>
      </c>
      <c r="F28" s="70" t="s">
        <v>38</v>
      </c>
      <c r="G28" s="71">
        <v>4</v>
      </c>
      <c r="H28" s="68" t="s">
        <v>27</v>
      </c>
      <c r="I28" s="68" t="s">
        <v>26</v>
      </c>
      <c r="J28" s="73">
        <v>419.33</v>
      </c>
      <c r="K28" s="73">
        <v>499</v>
      </c>
      <c r="L28" s="73">
        <f t="shared" si="0"/>
        <v>1677.32</v>
      </c>
      <c r="M28" s="73">
        <f t="shared" si="1"/>
        <v>1996</v>
      </c>
      <c r="N28" s="68"/>
      <c r="O28" s="68"/>
      <c r="P28" s="68"/>
      <c r="Q28" s="68"/>
      <c r="R28" s="68"/>
    </row>
    <row r="29" spans="1:18" x14ac:dyDescent="0.35">
      <c r="A29" s="68"/>
      <c r="B29" s="68"/>
      <c r="C29" s="68"/>
      <c r="D29" s="68" t="s">
        <v>276</v>
      </c>
      <c r="E29" s="69" t="s">
        <v>277</v>
      </c>
      <c r="F29" s="70"/>
      <c r="G29" s="71">
        <v>4</v>
      </c>
      <c r="H29" s="68" t="s">
        <v>82</v>
      </c>
      <c r="I29" s="72" t="s">
        <v>278</v>
      </c>
      <c r="J29" s="73">
        <v>19.32</v>
      </c>
      <c r="K29" s="73"/>
      <c r="L29" s="73">
        <f>J29*G29</f>
        <v>77.28</v>
      </c>
      <c r="M29" s="73"/>
      <c r="N29" s="68"/>
      <c r="O29" s="68"/>
      <c r="P29" s="68"/>
      <c r="Q29" s="68"/>
      <c r="R29" s="68"/>
    </row>
    <row r="30" spans="1:18" x14ac:dyDescent="0.35">
      <c r="A30" s="68"/>
      <c r="B30" s="68"/>
      <c r="C30" s="68"/>
      <c r="D30" s="68" t="s">
        <v>279</v>
      </c>
      <c r="E30" s="69" t="s">
        <v>280</v>
      </c>
      <c r="F30" s="70"/>
      <c r="G30" s="71">
        <v>4</v>
      </c>
      <c r="H30" s="68" t="s">
        <v>281</v>
      </c>
      <c r="I30" s="72" t="s">
        <v>282</v>
      </c>
      <c r="J30" s="73"/>
      <c r="K30" s="73">
        <v>29.95</v>
      </c>
      <c r="L30" s="73"/>
      <c r="M30" s="73">
        <f>K30*G30</f>
        <v>119.8</v>
      </c>
      <c r="N30" s="68"/>
      <c r="O30" s="68"/>
      <c r="P30" s="68"/>
      <c r="Q30" s="68"/>
      <c r="R30" s="68"/>
    </row>
    <row r="31" spans="1:18" x14ac:dyDescent="0.35">
      <c r="A31" s="68"/>
      <c r="B31" s="68"/>
      <c r="C31" s="68"/>
      <c r="D31" s="68" t="s">
        <v>36</v>
      </c>
      <c r="E31" s="68"/>
      <c r="F31" s="68"/>
      <c r="G31" s="68">
        <v>1</v>
      </c>
      <c r="H31" s="68"/>
      <c r="I31" s="68"/>
      <c r="J31" s="73"/>
      <c r="K31" s="73"/>
      <c r="L31" s="73">
        <f t="shared" si="0"/>
        <v>0</v>
      </c>
      <c r="M31" s="73">
        <f t="shared" ref="M31:M48" si="2">K31*G31</f>
        <v>0</v>
      </c>
      <c r="N31" s="68"/>
      <c r="O31" s="68"/>
      <c r="P31" s="68"/>
      <c r="Q31" s="68"/>
      <c r="R31" s="68"/>
    </row>
    <row r="32" spans="1:18" x14ac:dyDescent="0.35">
      <c r="A32" s="68"/>
      <c r="B32" s="68"/>
      <c r="C32" s="68"/>
      <c r="D32" s="68" t="s">
        <v>37</v>
      </c>
      <c r="E32" s="68"/>
      <c r="F32" s="68"/>
      <c r="G32" s="68">
        <v>10</v>
      </c>
      <c r="H32" s="68"/>
      <c r="I32" s="68"/>
      <c r="J32" s="73"/>
      <c r="K32" s="73"/>
      <c r="L32" s="73">
        <f t="shared" si="0"/>
        <v>0</v>
      </c>
      <c r="M32" s="73">
        <f t="shared" si="2"/>
        <v>0</v>
      </c>
      <c r="N32" s="68"/>
      <c r="O32" s="68"/>
      <c r="P32" s="68"/>
      <c r="Q32" s="68"/>
      <c r="R32" s="68"/>
    </row>
    <row r="33" spans="1:19" x14ac:dyDescent="0.35">
      <c r="A33" s="68"/>
      <c r="B33" s="68"/>
      <c r="C33" s="68"/>
      <c r="D33" s="68"/>
      <c r="E33" s="68"/>
      <c r="F33" s="68"/>
      <c r="G33" s="68"/>
      <c r="H33" s="68"/>
      <c r="I33" s="68"/>
      <c r="J33" s="73"/>
      <c r="K33" s="73"/>
      <c r="L33" s="73"/>
      <c r="M33" s="73">
        <f t="shared" si="2"/>
        <v>0</v>
      </c>
      <c r="N33" s="68"/>
      <c r="O33" s="68"/>
      <c r="P33" s="68"/>
      <c r="Q33" s="68"/>
      <c r="R33" s="68"/>
    </row>
    <row r="34" spans="1:19" x14ac:dyDescent="0.35">
      <c r="A34" s="68"/>
      <c r="B34" s="92" t="s">
        <v>553</v>
      </c>
      <c r="C34" s="68" t="s">
        <v>554</v>
      </c>
      <c r="D34" s="68"/>
      <c r="E34" s="68"/>
      <c r="F34" s="68"/>
      <c r="G34" s="68"/>
      <c r="H34" s="68"/>
      <c r="I34" s="74"/>
      <c r="J34" s="73"/>
      <c r="K34" s="73"/>
      <c r="L34" s="73"/>
      <c r="M34" s="73">
        <f t="shared" si="2"/>
        <v>0</v>
      </c>
      <c r="N34" s="68"/>
      <c r="O34" s="68"/>
      <c r="P34" s="68"/>
      <c r="Q34" s="68"/>
      <c r="R34" s="68"/>
    </row>
    <row r="35" spans="1:19" ht="15" customHeight="1" x14ac:dyDescent="0.35">
      <c r="A35" s="77"/>
      <c r="B35" s="77"/>
      <c r="C35" s="77"/>
      <c r="D35" s="77" t="s">
        <v>283</v>
      </c>
      <c r="E35" s="77" t="s">
        <v>284</v>
      </c>
      <c r="F35" s="77"/>
      <c r="G35" s="107">
        <v>6</v>
      </c>
      <c r="H35" s="107" t="s">
        <v>82</v>
      </c>
      <c r="I35" s="108" t="s">
        <v>285</v>
      </c>
      <c r="J35" s="109">
        <v>38.630000000000003</v>
      </c>
      <c r="K35" s="109">
        <v>45.79</v>
      </c>
      <c r="L35" s="109">
        <f>J35*6</f>
        <v>231.78000000000003</v>
      </c>
      <c r="M35" s="73">
        <f t="shared" si="2"/>
        <v>274.74</v>
      </c>
      <c r="N35" s="68"/>
      <c r="O35" s="68"/>
      <c r="P35" s="68"/>
      <c r="Q35" s="68"/>
      <c r="R35" s="68"/>
    </row>
    <row r="36" spans="1:19" x14ac:dyDescent="0.35">
      <c r="A36" s="68"/>
      <c r="B36" s="68"/>
      <c r="C36" s="68"/>
      <c r="D36" s="68"/>
      <c r="E36" s="68"/>
      <c r="F36" s="68"/>
      <c r="G36" s="68"/>
      <c r="H36" s="68"/>
      <c r="I36" s="68"/>
      <c r="J36" s="73"/>
      <c r="K36" s="73"/>
      <c r="L36" s="73">
        <f t="shared" si="0"/>
        <v>0</v>
      </c>
      <c r="M36" s="73">
        <f t="shared" si="2"/>
        <v>0</v>
      </c>
      <c r="N36" s="68"/>
      <c r="O36" s="68"/>
      <c r="P36" s="68"/>
      <c r="Q36" s="68"/>
      <c r="R36" s="68"/>
    </row>
    <row r="37" spans="1:19" x14ac:dyDescent="0.35">
      <c r="A37" s="68"/>
      <c r="B37" s="68"/>
      <c r="C37" s="68"/>
      <c r="D37" s="68"/>
      <c r="E37" s="68"/>
      <c r="F37" s="68"/>
      <c r="G37" s="68"/>
      <c r="H37" s="68"/>
      <c r="I37" s="68"/>
      <c r="J37" s="73"/>
      <c r="K37" s="73"/>
      <c r="L37" s="73">
        <f t="shared" si="0"/>
        <v>0</v>
      </c>
      <c r="M37" s="73">
        <f t="shared" si="2"/>
        <v>0</v>
      </c>
      <c r="N37" s="68"/>
      <c r="O37" s="68"/>
      <c r="P37" s="68"/>
      <c r="Q37" s="68"/>
      <c r="R37" s="68"/>
    </row>
    <row r="38" spans="1:19" x14ac:dyDescent="0.35">
      <c r="A38" s="68"/>
      <c r="B38" s="71" t="s">
        <v>543</v>
      </c>
      <c r="C38" s="71" t="s">
        <v>543</v>
      </c>
      <c r="D38" s="71" t="s">
        <v>431</v>
      </c>
      <c r="E38" s="71" t="s">
        <v>432</v>
      </c>
      <c r="F38" s="71" t="s">
        <v>433</v>
      </c>
      <c r="G38" s="71">
        <v>1</v>
      </c>
      <c r="H38" s="71" t="s">
        <v>432</v>
      </c>
      <c r="I38" s="71" t="s">
        <v>434</v>
      </c>
      <c r="J38" s="73"/>
      <c r="K38" s="73"/>
      <c r="L38" s="73">
        <f t="shared" si="0"/>
        <v>0</v>
      </c>
      <c r="M38" s="73">
        <f t="shared" si="2"/>
        <v>0</v>
      </c>
      <c r="N38" s="68"/>
      <c r="O38" s="68"/>
      <c r="P38" s="68"/>
      <c r="Q38" s="68"/>
      <c r="R38" s="68"/>
    </row>
    <row r="39" spans="1:19" ht="43.5" x14ac:dyDescent="0.35">
      <c r="A39" s="68"/>
      <c r="B39" s="71" t="s">
        <v>543</v>
      </c>
      <c r="C39" s="71" t="s">
        <v>543</v>
      </c>
      <c r="D39" s="71" t="s">
        <v>435</v>
      </c>
      <c r="E39" s="68"/>
      <c r="F39" s="75" t="s">
        <v>552</v>
      </c>
      <c r="G39" s="68"/>
      <c r="H39" s="75" t="s">
        <v>133</v>
      </c>
      <c r="I39" s="74" t="s">
        <v>544</v>
      </c>
      <c r="J39" s="73"/>
      <c r="K39" s="73"/>
      <c r="L39" s="73">
        <f t="shared" si="0"/>
        <v>0</v>
      </c>
      <c r="M39" s="73">
        <f t="shared" si="2"/>
        <v>0</v>
      </c>
      <c r="N39" s="68"/>
      <c r="O39" s="68"/>
      <c r="P39" s="68"/>
      <c r="Q39" s="68"/>
      <c r="R39" s="68"/>
    </row>
    <row r="40" spans="1:19" x14ac:dyDescent="0.35">
      <c r="A40" s="68"/>
      <c r="B40" s="68"/>
      <c r="C40" s="68"/>
      <c r="D40" s="68"/>
      <c r="E40" s="68"/>
      <c r="F40" s="68"/>
      <c r="G40" s="68"/>
      <c r="H40" s="68"/>
      <c r="I40" s="68"/>
      <c r="J40" s="73"/>
      <c r="K40" s="73"/>
      <c r="L40" s="73">
        <f t="shared" si="0"/>
        <v>0</v>
      </c>
      <c r="M40" s="73">
        <f t="shared" si="2"/>
        <v>0</v>
      </c>
      <c r="N40" s="68"/>
      <c r="O40" s="68"/>
      <c r="P40" s="68"/>
      <c r="Q40" s="68"/>
      <c r="R40" s="68"/>
    </row>
    <row r="41" spans="1:19" ht="17.25" customHeight="1" x14ac:dyDescent="0.35">
      <c r="A41" s="104"/>
      <c r="B41" s="104" t="s">
        <v>545</v>
      </c>
      <c r="C41" s="104" t="s">
        <v>545</v>
      </c>
      <c r="D41" s="104" t="s">
        <v>546</v>
      </c>
      <c r="E41" s="104"/>
      <c r="F41" s="104" t="s">
        <v>547</v>
      </c>
      <c r="G41" s="104">
        <v>21</v>
      </c>
      <c r="H41" s="104" t="s">
        <v>82</v>
      </c>
      <c r="I41" s="105" t="s">
        <v>548</v>
      </c>
      <c r="J41" s="106"/>
      <c r="K41" s="106">
        <v>31.99</v>
      </c>
      <c r="L41" s="106">
        <f t="shared" si="0"/>
        <v>0</v>
      </c>
      <c r="M41" s="73">
        <f t="shared" si="2"/>
        <v>671.79</v>
      </c>
      <c r="N41" s="68"/>
      <c r="O41" s="68"/>
      <c r="P41" s="68"/>
      <c r="Q41" s="68"/>
      <c r="R41" s="68"/>
    </row>
    <row r="42" spans="1:19" x14ac:dyDescent="0.35">
      <c r="A42" s="68"/>
      <c r="B42" s="68"/>
      <c r="C42" s="68"/>
      <c r="D42" s="68"/>
      <c r="E42" s="68"/>
      <c r="F42" s="68"/>
      <c r="G42" s="68"/>
      <c r="H42" s="68"/>
      <c r="I42" s="68"/>
      <c r="J42" s="73"/>
      <c r="K42" s="73"/>
      <c r="L42" s="73">
        <f t="shared" si="0"/>
        <v>0</v>
      </c>
      <c r="M42" s="73">
        <f t="shared" si="2"/>
        <v>0</v>
      </c>
      <c r="N42" s="68"/>
      <c r="O42" s="68"/>
      <c r="P42" s="68"/>
      <c r="Q42" s="68"/>
      <c r="R42" s="68"/>
    </row>
    <row r="43" spans="1:19" x14ac:dyDescent="0.35">
      <c r="A43" s="68"/>
      <c r="B43" s="68"/>
      <c r="C43" s="68"/>
      <c r="D43" s="68"/>
      <c r="E43" s="68"/>
      <c r="F43" s="68"/>
      <c r="G43" s="68"/>
      <c r="H43" s="68"/>
      <c r="I43" s="68"/>
      <c r="J43" s="73"/>
      <c r="K43" s="73"/>
      <c r="L43" s="73">
        <f t="shared" si="0"/>
        <v>0</v>
      </c>
      <c r="M43" s="73">
        <f t="shared" si="2"/>
        <v>0</v>
      </c>
      <c r="N43" s="68"/>
      <c r="O43" s="68"/>
      <c r="P43" s="68"/>
      <c r="Q43" s="68"/>
      <c r="R43" s="68"/>
    </row>
    <row r="44" spans="1:19" x14ac:dyDescent="0.35">
      <c r="A44" s="68"/>
      <c r="B44" s="68"/>
      <c r="C44" s="68"/>
      <c r="D44" s="68"/>
      <c r="E44" s="68"/>
      <c r="F44" s="68"/>
      <c r="G44" s="68"/>
      <c r="H44" s="68"/>
      <c r="I44" s="68"/>
      <c r="J44" s="73"/>
      <c r="K44" s="73"/>
      <c r="L44" s="73">
        <f t="shared" si="0"/>
        <v>0</v>
      </c>
      <c r="M44" s="73">
        <f t="shared" si="2"/>
        <v>0</v>
      </c>
      <c r="N44" s="68"/>
      <c r="O44" s="68"/>
      <c r="P44" s="68"/>
      <c r="Q44" s="68"/>
      <c r="R44" s="68"/>
      <c r="S44" s="6"/>
    </row>
    <row r="45" spans="1:19" x14ac:dyDescent="0.35">
      <c r="A45" s="68"/>
      <c r="B45" s="68"/>
      <c r="C45" s="68"/>
      <c r="D45" s="68"/>
      <c r="E45" s="68"/>
      <c r="F45" s="68"/>
      <c r="G45" s="68"/>
      <c r="H45" s="68"/>
      <c r="I45" s="68"/>
      <c r="J45" s="73"/>
      <c r="K45" s="73"/>
      <c r="L45" s="73">
        <f t="shared" si="0"/>
        <v>0</v>
      </c>
      <c r="M45" s="73">
        <f t="shared" si="2"/>
        <v>0</v>
      </c>
      <c r="N45" s="68"/>
      <c r="O45" s="68"/>
      <c r="P45" s="68"/>
      <c r="Q45" s="68"/>
      <c r="R45" s="68"/>
    </row>
    <row r="46" spans="1:19" x14ac:dyDescent="0.35">
      <c r="A46" s="68"/>
      <c r="B46" s="68"/>
      <c r="C46" s="68"/>
      <c r="D46" s="68"/>
      <c r="E46" s="68"/>
      <c r="F46" s="68"/>
      <c r="G46" s="68"/>
      <c r="H46" s="68"/>
      <c r="I46" s="68"/>
      <c r="J46" s="73"/>
      <c r="K46" s="73"/>
      <c r="L46" s="73">
        <f t="shared" si="0"/>
        <v>0</v>
      </c>
      <c r="M46" s="73">
        <f t="shared" si="2"/>
        <v>0</v>
      </c>
      <c r="N46" s="68"/>
      <c r="O46" s="68"/>
      <c r="P46" s="68"/>
      <c r="Q46" s="68"/>
      <c r="R46" s="68"/>
    </row>
    <row r="47" spans="1:19" x14ac:dyDescent="0.35">
      <c r="A47" s="68"/>
      <c r="B47" s="68"/>
      <c r="C47" s="68"/>
      <c r="D47" s="68"/>
      <c r="E47" s="68"/>
      <c r="F47" s="68"/>
      <c r="G47" s="68"/>
      <c r="H47" s="68"/>
      <c r="I47" s="68"/>
      <c r="J47" s="73"/>
      <c r="K47" s="73"/>
      <c r="L47" s="73">
        <f t="shared" si="0"/>
        <v>0</v>
      </c>
      <c r="M47" s="73">
        <f t="shared" si="2"/>
        <v>0</v>
      </c>
      <c r="N47" s="68"/>
      <c r="O47" s="68"/>
      <c r="P47" s="68"/>
      <c r="Q47" s="68"/>
      <c r="R47" s="68"/>
    </row>
    <row r="48" spans="1:19" x14ac:dyDescent="0.35">
      <c r="A48" s="68"/>
      <c r="B48" s="68"/>
      <c r="C48" s="68"/>
      <c r="D48" s="68"/>
      <c r="E48" s="68"/>
      <c r="F48" s="68"/>
      <c r="G48" s="68"/>
      <c r="H48" s="68"/>
      <c r="I48" s="68"/>
      <c r="J48" s="73"/>
      <c r="K48" s="73"/>
      <c r="L48" s="73">
        <f t="shared" si="0"/>
        <v>0</v>
      </c>
      <c r="M48" s="73">
        <f t="shared" si="2"/>
        <v>0</v>
      </c>
      <c r="N48" s="68"/>
      <c r="O48" s="68"/>
      <c r="P48" s="68"/>
      <c r="Q48" s="68"/>
      <c r="R48" s="68"/>
    </row>
    <row r="49" spans="1:18" x14ac:dyDescent="0.35">
      <c r="A49" s="68"/>
      <c r="B49" s="68"/>
      <c r="C49" s="68"/>
      <c r="D49" s="68"/>
      <c r="E49" s="68"/>
      <c r="F49" s="68"/>
      <c r="G49" s="68"/>
      <c r="H49" s="68"/>
      <c r="I49" s="68"/>
      <c r="J49" s="73"/>
      <c r="K49" s="73"/>
      <c r="L49" s="73">
        <f t="shared" si="0"/>
        <v>0</v>
      </c>
      <c r="M49" s="109">
        <f t="shared" ref="M49" si="3">6*K49</f>
        <v>0</v>
      </c>
      <c r="N49" s="68"/>
      <c r="O49" s="68"/>
      <c r="P49" s="68"/>
      <c r="Q49" s="68"/>
      <c r="R49" s="68"/>
    </row>
    <row r="50" spans="1:18" x14ac:dyDescent="0.35">
      <c r="A50" s="68"/>
      <c r="B50" s="68"/>
      <c r="C50" s="68"/>
      <c r="D50" s="68"/>
      <c r="E50" s="68"/>
      <c r="F50" s="68"/>
      <c r="G50" s="68"/>
      <c r="H50" s="68"/>
      <c r="I50" s="68"/>
      <c r="J50" s="73"/>
      <c r="K50" s="73"/>
      <c r="L50" s="73">
        <f t="shared" si="0"/>
        <v>0</v>
      </c>
      <c r="M50" s="109">
        <f t="shared" ref="M50:M58" si="4">6*K50</f>
        <v>0</v>
      </c>
      <c r="N50" s="68"/>
      <c r="O50" s="68"/>
      <c r="P50" s="68"/>
      <c r="Q50" s="68"/>
      <c r="R50" s="68"/>
    </row>
    <row r="51" spans="1:18" x14ac:dyDescent="0.35">
      <c r="A51" s="68"/>
      <c r="B51" s="68"/>
      <c r="C51" s="68"/>
      <c r="D51" s="68"/>
      <c r="E51" s="68"/>
      <c r="F51" s="68"/>
      <c r="G51" s="68"/>
      <c r="H51" s="68"/>
      <c r="I51" s="68"/>
      <c r="J51" s="73"/>
      <c r="K51" s="73"/>
      <c r="L51" s="73">
        <f t="shared" si="0"/>
        <v>0</v>
      </c>
      <c r="M51" s="109">
        <f t="shared" si="4"/>
        <v>0</v>
      </c>
      <c r="N51" s="68"/>
      <c r="O51" s="68"/>
      <c r="P51" s="68"/>
      <c r="Q51" s="68"/>
      <c r="R51" s="68"/>
    </row>
    <row r="52" spans="1:18" x14ac:dyDescent="0.35">
      <c r="A52" s="68"/>
      <c r="B52" s="68"/>
      <c r="C52" s="68"/>
      <c r="D52" s="68"/>
      <c r="E52" s="68"/>
      <c r="F52" s="68"/>
      <c r="G52" s="68"/>
      <c r="H52" s="68"/>
      <c r="I52" s="68"/>
      <c r="J52" s="73"/>
      <c r="K52" s="73"/>
      <c r="L52" s="73">
        <f t="shared" si="0"/>
        <v>0</v>
      </c>
      <c r="M52" s="109">
        <f t="shared" si="4"/>
        <v>0</v>
      </c>
      <c r="N52" s="68"/>
      <c r="O52" s="68"/>
      <c r="P52" s="68"/>
      <c r="Q52" s="68"/>
      <c r="R52" s="68"/>
    </row>
    <row r="53" spans="1:18" x14ac:dyDescent="0.35">
      <c r="A53" s="68"/>
      <c r="B53" s="68"/>
      <c r="C53" s="68"/>
      <c r="D53" s="68"/>
      <c r="E53" s="68"/>
      <c r="F53" s="68"/>
      <c r="G53" s="68"/>
      <c r="H53" s="68"/>
      <c r="I53" s="68"/>
      <c r="J53" s="73"/>
      <c r="K53" s="73"/>
      <c r="L53" s="73">
        <f t="shared" si="0"/>
        <v>0</v>
      </c>
      <c r="M53" s="109">
        <f t="shared" si="4"/>
        <v>0</v>
      </c>
      <c r="N53" s="68"/>
      <c r="O53" s="68"/>
      <c r="P53" s="68"/>
      <c r="Q53" s="68"/>
      <c r="R53" s="68"/>
    </row>
    <row r="54" spans="1:18" x14ac:dyDescent="0.35">
      <c r="A54" s="68"/>
      <c r="B54" s="68"/>
      <c r="C54" s="68"/>
      <c r="D54" s="68"/>
      <c r="E54" s="68"/>
      <c r="F54" s="68"/>
      <c r="G54" s="68"/>
      <c r="H54" s="68"/>
      <c r="I54" s="68"/>
      <c r="J54" s="73"/>
      <c r="K54" s="73"/>
      <c r="L54" s="73">
        <f t="shared" si="0"/>
        <v>0</v>
      </c>
      <c r="M54" s="109">
        <f t="shared" si="4"/>
        <v>0</v>
      </c>
      <c r="N54" s="68"/>
      <c r="O54" s="68"/>
      <c r="P54" s="68"/>
      <c r="Q54" s="68"/>
      <c r="R54" s="68"/>
    </row>
    <row r="55" spans="1:18" x14ac:dyDescent="0.35">
      <c r="A55" s="68"/>
      <c r="B55" s="68"/>
      <c r="C55" s="68"/>
      <c r="D55" s="68"/>
      <c r="E55" s="68"/>
      <c r="F55" s="68"/>
      <c r="G55" s="68"/>
      <c r="H55" s="68"/>
      <c r="I55" s="68"/>
      <c r="J55" s="73"/>
      <c r="K55" s="73"/>
      <c r="L55" s="73">
        <f t="shared" si="0"/>
        <v>0</v>
      </c>
      <c r="M55" s="109">
        <f t="shared" si="4"/>
        <v>0</v>
      </c>
      <c r="N55" s="68"/>
      <c r="O55" s="68"/>
      <c r="P55" s="68"/>
      <c r="Q55" s="68"/>
      <c r="R55" s="68"/>
    </row>
    <row r="56" spans="1:18" x14ac:dyDescent="0.35">
      <c r="A56" s="68"/>
      <c r="B56" s="68"/>
      <c r="C56" s="68"/>
      <c r="D56" s="68"/>
      <c r="E56" s="68"/>
      <c r="F56" s="68"/>
      <c r="G56" s="68"/>
      <c r="H56" s="68"/>
      <c r="I56" s="68"/>
      <c r="J56" s="73"/>
      <c r="K56" s="73"/>
      <c r="L56" s="73">
        <f t="shared" si="0"/>
        <v>0</v>
      </c>
      <c r="M56" s="109">
        <f t="shared" si="4"/>
        <v>0</v>
      </c>
      <c r="N56" s="68"/>
      <c r="O56" s="68"/>
      <c r="P56" s="68"/>
      <c r="Q56" s="68"/>
      <c r="R56" s="68"/>
    </row>
    <row r="57" spans="1:18" x14ac:dyDescent="0.35">
      <c r="A57" s="68"/>
      <c r="B57" s="68"/>
      <c r="C57" s="68"/>
      <c r="D57" s="68"/>
      <c r="E57" s="68"/>
      <c r="F57" s="68"/>
      <c r="G57" s="68"/>
      <c r="H57" s="68"/>
      <c r="I57" s="68"/>
      <c r="J57" s="73"/>
      <c r="K57" s="73"/>
      <c r="L57" s="73">
        <f t="shared" si="0"/>
        <v>0</v>
      </c>
      <c r="M57" s="109">
        <f t="shared" si="4"/>
        <v>0</v>
      </c>
      <c r="N57" s="68"/>
      <c r="O57" s="68"/>
      <c r="P57" s="68"/>
      <c r="Q57" s="68"/>
      <c r="R57" s="68"/>
    </row>
    <row r="58" spans="1:18" x14ac:dyDescent="0.35">
      <c r="A58" s="68"/>
      <c r="B58" s="68"/>
      <c r="C58" s="68"/>
      <c r="D58" s="68"/>
      <c r="E58" s="68"/>
      <c r="F58" s="68"/>
      <c r="G58" s="68"/>
      <c r="H58" s="68"/>
      <c r="I58" s="68"/>
      <c r="J58" s="73"/>
      <c r="K58" s="73"/>
      <c r="L58" s="73">
        <f t="shared" si="0"/>
        <v>0</v>
      </c>
      <c r="M58" s="109">
        <f t="shared" si="4"/>
        <v>0</v>
      </c>
      <c r="N58" s="68"/>
      <c r="O58" s="68"/>
      <c r="P58" s="68"/>
      <c r="Q58" s="68"/>
      <c r="R58" s="68"/>
    </row>
  </sheetData>
  <hyperlinks>
    <hyperlink ref="I3" r:id="rId1" xr:uid="{5AC195D8-9477-4E36-BC3D-B58C5D1312A8}"/>
  </hyperlinks>
  <pageMargins left="0.25" right="0.25" top="0.75" bottom="0.75" header="0.3" footer="0.3"/>
  <pageSetup paperSize="8" scale="74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1DD1-CDA3-4DA7-AEA3-0C6EEEA84C5C}">
  <dimension ref="A1:Q36"/>
  <sheetViews>
    <sheetView workbookViewId="0">
      <selection activeCell="A2" sqref="A2:C2"/>
    </sheetView>
  </sheetViews>
  <sheetFormatPr baseColWidth="10" defaultRowHeight="14.5" x14ac:dyDescent="0.35"/>
  <cols>
    <col min="3" max="3" width="9.7265625" bestFit="1" customWidth="1"/>
    <col min="4" max="4" width="13" bestFit="1" customWidth="1"/>
    <col min="5" max="5" width="9.81640625" bestFit="1" customWidth="1"/>
    <col min="6" max="6" width="7" bestFit="1" customWidth="1"/>
    <col min="7" max="7" width="22.81640625" bestFit="1" customWidth="1"/>
    <col min="8" max="8" width="18.26953125" bestFit="1" customWidth="1"/>
    <col min="9" max="9" width="17.453125" bestFit="1" customWidth="1"/>
    <col min="10" max="10" width="18.1796875" bestFit="1" customWidth="1"/>
    <col min="11" max="11" width="19" bestFit="1" customWidth="1"/>
    <col min="12" max="12" width="19.7265625" bestFit="1" customWidth="1"/>
  </cols>
  <sheetData>
    <row r="1" spans="1:17" x14ac:dyDescent="0.35">
      <c r="B1" s="1"/>
      <c r="D1" s="1"/>
      <c r="I1" s="1"/>
      <c r="K1" s="1"/>
      <c r="M1" s="1"/>
    </row>
    <row r="2" spans="1:17" x14ac:dyDescent="0.35">
      <c r="A2" s="4" t="s">
        <v>34</v>
      </c>
      <c r="B2" s="5" t="s">
        <v>10</v>
      </c>
      <c r="C2" s="4" t="s">
        <v>11</v>
      </c>
      <c r="D2" s="5" t="s">
        <v>0</v>
      </c>
      <c r="E2" s="4" t="s">
        <v>1</v>
      </c>
      <c r="F2" s="4" t="s">
        <v>2</v>
      </c>
      <c r="G2" s="4" t="s">
        <v>7</v>
      </c>
      <c r="H2" s="4" t="s">
        <v>8</v>
      </c>
      <c r="I2" s="5" t="s">
        <v>3</v>
      </c>
      <c r="J2" s="4" t="s">
        <v>4</v>
      </c>
      <c r="K2" s="5" t="s">
        <v>5</v>
      </c>
      <c r="L2" s="4" t="s">
        <v>6</v>
      </c>
      <c r="M2" s="5" t="s">
        <v>28</v>
      </c>
      <c r="N2" s="4" t="s">
        <v>32</v>
      </c>
      <c r="O2" s="4" t="s">
        <v>29</v>
      </c>
      <c r="P2" s="4" t="s">
        <v>30</v>
      </c>
      <c r="Q2" s="4" t="s">
        <v>31</v>
      </c>
    </row>
    <row r="3" spans="1:17" x14ac:dyDescent="0.35">
      <c r="B3" s="1"/>
      <c r="D3" s="1"/>
      <c r="I3" s="2">
        <v>0</v>
      </c>
      <c r="J3" s="3">
        <v>0</v>
      </c>
      <c r="K3" s="9">
        <f>SUM(F3*I3)</f>
        <v>0</v>
      </c>
      <c r="L3" s="7">
        <f>SUM(I3*J3)</f>
        <v>0</v>
      </c>
      <c r="M3" s="1"/>
    </row>
    <row r="4" spans="1:17" x14ac:dyDescent="0.35">
      <c r="B4" s="1"/>
      <c r="D4" s="1"/>
      <c r="I4" s="2"/>
      <c r="J4" s="3"/>
      <c r="K4" s="2">
        <f t="shared" ref="K4:K36" si="0">SUM(F4*I4)</f>
        <v>0</v>
      </c>
      <c r="L4" s="7">
        <f t="shared" ref="L4:L36" si="1">SUM(I4*J4)</f>
        <v>0</v>
      </c>
      <c r="M4" s="1"/>
    </row>
    <row r="5" spans="1:17" x14ac:dyDescent="0.35">
      <c r="B5" s="1"/>
      <c r="D5" s="1"/>
      <c r="I5" s="2"/>
      <c r="J5" s="3"/>
      <c r="K5" s="2">
        <f t="shared" si="0"/>
        <v>0</v>
      </c>
      <c r="L5" s="7">
        <f t="shared" si="1"/>
        <v>0</v>
      </c>
      <c r="M5" s="1"/>
    </row>
    <row r="6" spans="1:17" x14ac:dyDescent="0.35">
      <c r="B6" s="1"/>
      <c r="D6" s="1"/>
      <c r="I6" s="2"/>
      <c r="J6" s="3"/>
      <c r="K6" s="2">
        <f t="shared" si="0"/>
        <v>0</v>
      </c>
      <c r="L6" s="7">
        <f t="shared" si="1"/>
        <v>0</v>
      </c>
      <c r="M6" s="1"/>
    </row>
    <row r="7" spans="1:17" x14ac:dyDescent="0.35">
      <c r="B7" s="1"/>
      <c r="D7" s="1"/>
      <c r="I7" s="2"/>
      <c r="J7" s="3"/>
      <c r="K7" s="2">
        <f t="shared" si="0"/>
        <v>0</v>
      </c>
      <c r="L7" s="7">
        <f t="shared" si="1"/>
        <v>0</v>
      </c>
      <c r="M7" s="1"/>
    </row>
    <row r="8" spans="1:17" x14ac:dyDescent="0.35">
      <c r="B8" s="1"/>
      <c r="D8" s="1"/>
      <c r="I8" s="2"/>
      <c r="J8" s="3"/>
      <c r="K8" s="2">
        <f t="shared" si="0"/>
        <v>0</v>
      </c>
      <c r="L8" s="7">
        <f t="shared" si="1"/>
        <v>0</v>
      </c>
      <c r="M8" s="1"/>
    </row>
    <row r="9" spans="1:17" x14ac:dyDescent="0.35">
      <c r="B9" s="1"/>
      <c r="D9" s="1"/>
      <c r="I9" s="2"/>
      <c r="J9" s="3"/>
      <c r="K9" s="2">
        <f t="shared" si="0"/>
        <v>0</v>
      </c>
      <c r="L9" s="7">
        <f t="shared" si="1"/>
        <v>0</v>
      </c>
      <c r="M9" s="1"/>
    </row>
    <row r="10" spans="1:17" x14ac:dyDescent="0.35">
      <c r="B10" s="1"/>
      <c r="D10" s="1"/>
      <c r="I10" s="2"/>
      <c r="J10" s="3"/>
      <c r="K10" s="2">
        <f t="shared" si="0"/>
        <v>0</v>
      </c>
      <c r="L10" s="7">
        <f t="shared" si="1"/>
        <v>0</v>
      </c>
      <c r="M10" s="1"/>
    </row>
    <row r="11" spans="1:17" x14ac:dyDescent="0.35">
      <c r="B11" s="1"/>
      <c r="D11" s="1"/>
      <c r="I11" s="2"/>
      <c r="J11" s="3"/>
      <c r="K11" s="2">
        <f t="shared" si="0"/>
        <v>0</v>
      </c>
      <c r="L11" s="7">
        <f t="shared" si="1"/>
        <v>0</v>
      </c>
      <c r="M11" s="1"/>
    </row>
    <row r="12" spans="1:17" x14ac:dyDescent="0.35">
      <c r="B12" s="1"/>
      <c r="D12" s="1"/>
      <c r="I12" s="2"/>
      <c r="J12" s="3"/>
      <c r="K12" s="2">
        <f t="shared" si="0"/>
        <v>0</v>
      </c>
      <c r="L12" s="7">
        <f t="shared" si="1"/>
        <v>0</v>
      </c>
      <c r="M12" s="1"/>
    </row>
    <row r="13" spans="1:17" x14ac:dyDescent="0.35">
      <c r="B13" s="1"/>
      <c r="D13" s="1"/>
      <c r="I13" s="2"/>
      <c r="J13" s="3"/>
      <c r="K13" s="2">
        <f t="shared" si="0"/>
        <v>0</v>
      </c>
      <c r="L13" s="7">
        <f t="shared" si="1"/>
        <v>0</v>
      </c>
      <c r="M13" s="1"/>
    </row>
    <row r="14" spans="1:17" x14ac:dyDescent="0.35">
      <c r="B14" s="1"/>
      <c r="D14" s="1"/>
      <c r="I14" s="2"/>
      <c r="J14" s="3"/>
      <c r="K14" s="2">
        <f t="shared" si="0"/>
        <v>0</v>
      </c>
      <c r="L14" s="7">
        <f t="shared" si="1"/>
        <v>0</v>
      </c>
      <c r="M14" s="1"/>
    </row>
    <row r="15" spans="1:17" x14ac:dyDescent="0.35">
      <c r="B15" s="1"/>
      <c r="D15" s="1"/>
      <c r="I15" s="2"/>
      <c r="J15" s="3"/>
      <c r="K15" s="2">
        <f t="shared" si="0"/>
        <v>0</v>
      </c>
      <c r="L15" s="7">
        <f t="shared" si="1"/>
        <v>0</v>
      </c>
      <c r="M15" s="1"/>
    </row>
    <row r="16" spans="1:17" x14ac:dyDescent="0.35">
      <c r="B16" s="1"/>
      <c r="D16" s="1"/>
      <c r="I16" s="2"/>
      <c r="J16" s="3"/>
      <c r="K16" s="2">
        <f t="shared" si="0"/>
        <v>0</v>
      </c>
      <c r="L16" s="7">
        <f t="shared" si="1"/>
        <v>0</v>
      </c>
      <c r="M16" s="1"/>
    </row>
    <row r="17" spans="2:13" x14ac:dyDescent="0.35">
      <c r="B17" s="1"/>
      <c r="D17" s="1"/>
      <c r="I17" s="2"/>
      <c r="J17" s="3"/>
      <c r="K17" s="2">
        <f t="shared" si="0"/>
        <v>0</v>
      </c>
      <c r="L17" s="7">
        <f t="shared" si="1"/>
        <v>0</v>
      </c>
      <c r="M17" s="1"/>
    </row>
    <row r="18" spans="2:13" x14ac:dyDescent="0.35">
      <c r="B18" s="1"/>
      <c r="D18" s="1"/>
      <c r="I18" s="2"/>
      <c r="J18" s="3"/>
      <c r="K18" s="2">
        <f t="shared" si="0"/>
        <v>0</v>
      </c>
      <c r="L18" s="7">
        <f t="shared" si="1"/>
        <v>0</v>
      </c>
      <c r="M18" s="1"/>
    </row>
    <row r="19" spans="2:13" x14ac:dyDescent="0.35">
      <c r="B19" s="1"/>
      <c r="D19" s="1"/>
      <c r="I19" s="2"/>
      <c r="J19" s="3"/>
      <c r="K19" s="2">
        <f t="shared" si="0"/>
        <v>0</v>
      </c>
      <c r="L19" s="7">
        <f t="shared" si="1"/>
        <v>0</v>
      </c>
      <c r="M19" s="1"/>
    </row>
    <row r="20" spans="2:13" x14ac:dyDescent="0.35">
      <c r="B20" s="1"/>
      <c r="D20" s="1"/>
      <c r="I20" s="2"/>
      <c r="J20" s="3"/>
      <c r="K20" s="2">
        <f t="shared" si="0"/>
        <v>0</v>
      </c>
      <c r="L20" s="7">
        <f t="shared" si="1"/>
        <v>0</v>
      </c>
      <c r="M20" s="1"/>
    </row>
    <row r="21" spans="2:13" x14ac:dyDescent="0.35">
      <c r="B21" s="1"/>
      <c r="D21" s="1"/>
      <c r="I21" s="2"/>
      <c r="J21" s="3"/>
      <c r="K21" s="2">
        <f t="shared" si="0"/>
        <v>0</v>
      </c>
      <c r="L21" s="7">
        <f t="shared" si="1"/>
        <v>0</v>
      </c>
      <c r="M21" s="1"/>
    </row>
    <row r="22" spans="2:13" x14ac:dyDescent="0.35">
      <c r="B22" s="1"/>
      <c r="D22" s="1"/>
      <c r="I22" s="2"/>
      <c r="J22" s="3"/>
      <c r="K22" s="2">
        <f t="shared" si="0"/>
        <v>0</v>
      </c>
      <c r="L22" s="7">
        <f t="shared" si="1"/>
        <v>0</v>
      </c>
      <c r="M22" s="1"/>
    </row>
    <row r="23" spans="2:13" x14ac:dyDescent="0.35">
      <c r="B23" s="1"/>
      <c r="D23" s="1"/>
      <c r="I23" s="2"/>
      <c r="J23" s="3"/>
      <c r="K23" s="2">
        <f t="shared" si="0"/>
        <v>0</v>
      </c>
      <c r="L23" s="7">
        <f t="shared" si="1"/>
        <v>0</v>
      </c>
      <c r="M23" s="1"/>
    </row>
    <row r="24" spans="2:13" x14ac:dyDescent="0.35">
      <c r="B24" s="1"/>
      <c r="D24" s="1"/>
      <c r="I24" s="2"/>
      <c r="J24" s="3"/>
      <c r="K24" s="2">
        <f t="shared" si="0"/>
        <v>0</v>
      </c>
      <c r="L24" s="7">
        <f t="shared" si="1"/>
        <v>0</v>
      </c>
      <c r="M24" s="1"/>
    </row>
    <row r="25" spans="2:13" x14ac:dyDescent="0.35">
      <c r="B25" s="1"/>
      <c r="D25" s="1"/>
      <c r="I25" s="2"/>
      <c r="J25" s="3"/>
      <c r="K25" s="2">
        <f t="shared" si="0"/>
        <v>0</v>
      </c>
      <c r="L25" s="7">
        <f t="shared" si="1"/>
        <v>0</v>
      </c>
      <c r="M25" s="1"/>
    </row>
    <row r="26" spans="2:13" x14ac:dyDescent="0.35">
      <c r="B26" s="1"/>
      <c r="D26" s="1"/>
      <c r="I26" s="2"/>
      <c r="J26" s="3"/>
      <c r="K26" s="2">
        <f t="shared" si="0"/>
        <v>0</v>
      </c>
      <c r="L26" s="7">
        <f t="shared" si="1"/>
        <v>0</v>
      </c>
      <c r="M26" s="1"/>
    </row>
    <row r="27" spans="2:13" x14ac:dyDescent="0.35">
      <c r="B27" s="1"/>
      <c r="D27" s="1"/>
      <c r="I27" s="2"/>
      <c r="J27" s="3"/>
      <c r="K27" s="2">
        <f t="shared" si="0"/>
        <v>0</v>
      </c>
      <c r="L27" s="7">
        <f t="shared" si="1"/>
        <v>0</v>
      </c>
      <c r="M27" s="1"/>
    </row>
    <row r="28" spans="2:13" x14ac:dyDescent="0.35">
      <c r="B28" s="1"/>
      <c r="D28" s="1"/>
      <c r="I28" s="2"/>
      <c r="J28" s="3"/>
      <c r="K28" s="2">
        <f t="shared" si="0"/>
        <v>0</v>
      </c>
      <c r="L28" s="7">
        <f t="shared" si="1"/>
        <v>0</v>
      </c>
      <c r="M28" s="1"/>
    </row>
    <row r="29" spans="2:13" x14ac:dyDescent="0.35">
      <c r="B29" s="1"/>
      <c r="D29" s="1"/>
      <c r="I29" s="2"/>
      <c r="J29" s="3"/>
      <c r="K29" s="2">
        <f t="shared" si="0"/>
        <v>0</v>
      </c>
      <c r="L29" s="7">
        <f t="shared" si="1"/>
        <v>0</v>
      </c>
      <c r="M29" s="1"/>
    </row>
    <row r="30" spans="2:13" x14ac:dyDescent="0.35">
      <c r="B30" s="1"/>
      <c r="D30" s="1"/>
      <c r="I30" s="2"/>
      <c r="J30" s="3"/>
      <c r="K30" s="2">
        <f t="shared" si="0"/>
        <v>0</v>
      </c>
      <c r="L30" s="7">
        <f t="shared" si="1"/>
        <v>0</v>
      </c>
      <c r="M30" s="1"/>
    </row>
    <row r="31" spans="2:13" x14ac:dyDescent="0.35">
      <c r="B31" s="1"/>
      <c r="D31" s="1"/>
      <c r="I31" s="2"/>
      <c r="J31" s="3"/>
      <c r="K31" s="2">
        <f t="shared" si="0"/>
        <v>0</v>
      </c>
      <c r="L31" s="7">
        <f t="shared" si="1"/>
        <v>0</v>
      </c>
      <c r="M31" s="1"/>
    </row>
    <row r="32" spans="2:13" x14ac:dyDescent="0.35">
      <c r="B32" s="1"/>
      <c r="D32" s="1"/>
      <c r="I32" s="2"/>
      <c r="J32" s="3"/>
      <c r="K32" s="2">
        <f t="shared" si="0"/>
        <v>0</v>
      </c>
      <c r="L32" s="7">
        <f t="shared" si="1"/>
        <v>0</v>
      </c>
      <c r="M32" s="1"/>
    </row>
    <row r="33" spans="2:13" x14ac:dyDescent="0.35">
      <c r="B33" s="1"/>
      <c r="D33" s="1"/>
      <c r="I33" s="2"/>
      <c r="J33" s="3"/>
      <c r="K33" s="2">
        <f t="shared" si="0"/>
        <v>0</v>
      </c>
      <c r="L33" s="7">
        <f t="shared" si="1"/>
        <v>0</v>
      </c>
      <c r="M33" s="1"/>
    </row>
    <row r="34" spans="2:13" x14ac:dyDescent="0.35">
      <c r="B34" s="1"/>
      <c r="D34" s="1"/>
      <c r="I34" s="2"/>
      <c r="J34" s="3"/>
      <c r="K34" s="2">
        <f t="shared" si="0"/>
        <v>0</v>
      </c>
      <c r="L34" s="7">
        <f t="shared" si="1"/>
        <v>0</v>
      </c>
      <c r="M34" s="1"/>
    </row>
    <row r="35" spans="2:13" x14ac:dyDescent="0.35">
      <c r="B35" s="1"/>
      <c r="D35" s="1"/>
      <c r="I35" s="2"/>
      <c r="J35" s="3"/>
      <c r="K35" s="2">
        <f t="shared" si="0"/>
        <v>0</v>
      </c>
      <c r="L35" s="7">
        <f t="shared" si="1"/>
        <v>0</v>
      </c>
      <c r="M35" s="1"/>
    </row>
    <row r="36" spans="2:13" x14ac:dyDescent="0.35">
      <c r="B36" s="1"/>
      <c r="D36" s="1"/>
      <c r="I36" s="2"/>
      <c r="J36" s="3"/>
      <c r="K36" s="2">
        <f t="shared" si="0"/>
        <v>0</v>
      </c>
      <c r="L36" s="7">
        <f t="shared" si="1"/>
        <v>0</v>
      </c>
      <c r="M36" s="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CB17-8D3E-4B4A-B002-5648AB73A075}">
  <dimension ref="A1:Q36"/>
  <sheetViews>
    <sheetView topLeftCell="D1" workbookViewId="0">
      <selection activeCell="N14" sqref="N14"/>
    </sheetView>
  </sheetViews>
  <sheetFormatPr baseColWidth="10" defaultRowHeight="14.5" x14ac:dyDescent="0.35"/>
  <cols>
    <col min="4" max="4" width="13" bestFit="1" customWidth="1"/>
    <col min="7" max="7" width="22.81640625" bestFit="1" customWidth="1"/>
    <col min="8" max="8" width="18.26953125" bestFit="1" customWidth="1"/>
    <col min="9" max="9" width="17.453125" bestFit="1" customWidth="1"/>
    <col min="10" max="10" width="18.1796875" bestFit="1" customWidth="1"/>
    <col min="11" max="11" width="19" bestFit="1" customWidth="1"/>
    <col min="12" max="12" width="19.7265625" bestFit="1" customWidth="1"/>
  </cols>
  <sheetData>
    <row r="1" spans="1:17" x14ac:dyDescent="0.35">
      <c r="B1" s="1"/>
      <c r="D1" s="1"/>
      <c r="I1" s="1"/>
      <c r="K1" s="1"/>
      <c r="M1" s="1"/>
    </row>
    <row r="2" spans="1:17" x14ac:dyDescent="0.35">
      <c r="A2" s="4" t="s">
        <v>34</v>
      </c>
      <c r="B2" s="5" t="s">
        <v>10</v>
      </c>
      <c r="C2" s="4" t="s">
        <v>11</v>
      </c>
      <c r="D2" s="5" t="s">
        <v>0</v>
      </c>
      <c r="E2" s="4" t="s">
        <v>1</v>
      </c>
      <c r="F2" s="4" t="s">
        <v>2</v>
      </c>
      <c r="G2" s="4" t="s">
        <v>7</v>
      </c>
      <c r="H2" s="4" t="s">
        <v>8</v>
      </c>
      <c r="I2" s="5" t="s">
        <v>3</v>
      </c>
      <c r="J2" s="4" t="s">
        <v>4</v>
      </c>
      <c r="K2" s="5" t="s">
        <v>5</v>
      </c>
      <c r="L2" s="4" t="s">
        <v>6</v>
      </c>
      <c r="M2" s="5" t="s">
        <v>28</v>
      </c>
      <c r="N2" s="4" t="s">
        <v>32</v>
      </c>
      <c r="O2" s="4" t="s">
        <v>29</v>
      </c>
      <c r="P2" s="4" t="s">
        <v>30</v>
      </c>
      <c r="Q2" s="4" t="s">
        <v>31</v>
      </c>
    </row>
    <row r="3" spans="1:17" x14ac:dyDescent="0.35">
      <c r="B3" s="1"/>
      <c r="D3" s="1"/>
      <c r="I3" s="2">
        <v>0</v>
      </c>
      <c r="J3" s="3">
        <v>0</v>
      </c>
      <c r="K3" s="9">
        <f>SUM(F3*I3)</f>
        <v>0</v>
      </c>
      <c r="L3" s="7">
        <f>SUM(I3*J3)</f>
        <v>0</v>
      </c>
      <c r="M3" s="1"/>
    </row>
    <row r="4" spans="1:17" x14ac:dyDescent="0.35">
      <c r="B4" s="1"/>
      <c r="D4" s="1"/>
      <c r="I4" s="2"/>
      <c r="J4" s="3"/>
      <c r="K4" s="2">
        <f t="shared" ref="K4:K36" si="0">SUM(F4*I4)</f>
        <v>0</v>
      </c>
      <c r="L4" s="7">
        <f t="shared" ref="L4:L36" si="1">SUM(I4*J4)</f>
        <v>0</v>
      </c>
      <c r="M4" s="1"/>
    </row>
    <row r="5" spans="1:17" x14ac:dyDescent="0.35">
      <c r="B5" s="1"/>
      <c r="D5" s="1"/>
      <c r="I5" s="2"/>
      <c r="J5" s="3"/>
      <c r="K5" s="2">
        <f t="shared" si="0"/>
        <v>0</v>
      </c>
      <c r="L5" s="7">
        <f t="shared" si="1"/>
        <v>0</v>
      </c>
      <c r="M5" s="1"/>
    </row>
    <row r="6" spans="1:17" x14ac:dyDescent="0.35">
      <c r="B6" s="1"/>
      <c r="D6" s="1"/>
      <c r="I6" s="2"/>
      <c r="J6" s="3"/>
      <c r="K6" s="2">
        <f t="shared" si="0"/>
        <v>0</v>
      </c>
      <c r="L6" s="7">
        <f t="shared" si="1"/>
        <v>0</v>
      </c>
      <c r="M6" s="1"/>
    </row>
    <row r="7" spans="1:17" x14ac:dyDescent="0.35">
      <c r="B7" s="1"/>
      <c r="D7" s="1"/>
      <c r="I7" s="2"/>
      <c r="J7" s="3"/>
      <c r="K7" s="2">
        <f t="shared" si="0"/>
        <v>0</v>
      </c>
      <c r="L7" s="7">
        <f t="shared" si="1"/>
        <v>0</v>
      </c>
      <c r="M7" s="1"/>
    </row>
    <row r="8" spans="1:17" x14ac:dyDescent="0.35">
      <c r="B8" s="1"/>
      <c r="D8" s="1"/>
      <c r="I8" s="2"/>
      <c r="J8" s="3"/>
      <c r="K8" s="2">
        <f t="shared" si="0"/>
        <v>0</v>
      </c>
      <c r="L8" s="7">
        <f t="shared" si="1"/>
        <v>0</v>
      </c>
      <c r="M8" s="1"/>
    </row>
    <row r="9" spans="1:17" x14ac:dyDescent="0.35">
      <c r="B9" s="1"/>
      <c r="D9" s="1"/>
      <c r="I9" s="2"/>
      <c r="J9" s="3"/>
      <c r="K9" s="2">
        <f t="shared" si="0"/>
        <v>0</v>
      </c>
      <c r="L9" s="7">
        <f t="shared" si="1"/>
        <v>0</v>
      </c>
      <c r="M9" s="1"/>
    </row>
    <row r="10" spans="1:17" x14ac:dyDescent="0.35">
      <c r="B10" s="1"/>
      <c r="D10" s="1"/>
      <c r="I10" s="2"/>
      <c r="J10" s="3"/>
      <c r="K10" s="2">
        <f t="shared" si="0"/>
        <v>0</v>
      </c>
      <c r="L10" s="7">
        <f t="shared" si="1"/>
        <v>0</v>
      </c>
      <c r="M10" s="1"/>
    </row>
    <row r="11" spans="1:17" x14ac:dyDescent="0.35">
      <c r="B11" s="1"/>
      <c r="D11" s="1"/>
      <c r="I11" s="2"/>
      <c r="J11" s="3"/>
      <c r="K11" s="2">
        <f t="shared" si="0"/>
        <v>0</v>
      </c>
      <c r="L11" s="7">
        <f t="shared" si="1"/>
        <v>0</v>
      </c>
      <c r="M11" s="1"/>
    </row>
    <row r="12" spans="1:17" x14ac:dyDescent="0.35">
      <c r="B12" s="1"/>
      <c r="D12" s="1"/>
      <c r="I12" s="2"/>
      <c r="J12" s="3"/>
      <c r="K12" s="2">
        <f t="shared" si="0"/>
        <v>0</v>
      </c>
      <c r="L12" s="7">
        <f t="shared" si="1"/>
        <v>0</v>
      </c>
      <c r="M12" s="1"/>
    </row>
    <row r="13" spans="1:17" x14ac:dyDescent="0.35">
      <c r="B13" s="1"/>
      <c r="D13" s="1"/>
      <c r="I13" s="2"/>
      <c r="J13" s="3"/>
      <c r="K13" s="2">
        <f t="shared" si="0"/>
        <v>0</v>
      </c>
      <c r="L13" s="7">
        <f t="shared" si="1"/>
        <v>0</v>
      </c>
      <c r="M13" s="1"/>
    </row>
    <row r="14" spans="1:17" x14ac:dyDescent="0.35">
      <c r="B14" s="1"/>
      <c r="D14" s="1"/>
      <c r="I14" s="2"/>
      <c r="J14" s="3"/>
      <c r="K14" s="2">
        <f t="shared" si="0"/>
        <v>0</v>
      </c>
      <c r="L14" s="7">
        <f t="shared" si="1"/>
        <v>0</v>
      </c>
      <c r="M14" s="1"/>
    </row>
    <row r="15" spans="1:17" x14ac:dyDescent="0.35">
      <c r="B15" s="1"/>
      <c r="D15" s="1"/>
      <c r="I15" s="2"/>
      <c r="J15" s="3"/>
      <c r="K15" s="2">
        <f t="shared" si="0"/>
        <v>0</v>
      </c>
      <c r="L15" s="7">
        <f t="shared" si="1"/>
        <v>0</v>
      </c>
      <c r="M15" s="1"/>
    </row>
    <row r="16" spans="1:17" x14ac:dyDescent="0.35">
      <c r="B16" s="1"/>
      <c r="D16" s="1"/>
      <c r="I16" s="2"/>
      <c r="J16" s="3"/>
      <c r="K16" s="2">
        <f t="shared" si="0"/>
        <v>0</v>
      </c>
      <c r="L16" s="7">
        <f t="shared" si="1"/>
        <v>0</v>
      </c>
      <c r="M16" s="1"/>
    </row>
    <row r="17" spans="2:13" x14ac:dyDescent="0.35">
      <c r="B17" s="1"/>
      <c r="D17" s="1"/>
      <c r="I17" s="2"/>
      <c r="J17" s="3"/>
      <c r="K17" s="2">
        <f t="shared" si="0"/>
        <v>0</v>
      </c>
      <c r="L17" s="7">
        <f t="shared" si="1"/>
        <v>0</v>
      </c>
      <c r="M17" s="1"/>
    </row>
    <row r="18" spans="2:13" x14ac:dyDescent="0.35">
      <c r="B18" s="1"/>
      <c r="D18" s="1"/>
      <c r="I18" s="2"/>
      <c r="J18" s="3"/>
      <c r="K18" s="2">
        <f t="shared" si="0"/>
        <v>0</v>
      </c>
      <c r="L18" s="7">
        <f t="shared" si="1"/>
        <v>0</v>
      </c>
      <c r="M18" s="1"/>
    </row>
    <row r="19" spans="2:13" x14ac:dyDescent="0.35">
      <c r="B19" s="1"/>
      <c r="D19" s="1"/>
      <c r="I19" s="2"/>
      <c r="J19" s="3"/>
      <c r="K19" s="2">
        <f t="shared" si="0"/>
        <v>0</v>
      </c>
      <c r="L19" s="7">
        <f t="shared" si="1"/>
        <v>0</v>
      </c>
      <c r="M19" s="1"/>
    </row>
    <row r="20" spans="2:13" x14ac:dyDescent="0.35">
      <c r="B20" s="1"/>
      <c r="D20" s="1"/>
      <c r="I20" s="2"/>
      <c r="J20" s="3"/>
      <c r="K20" s="2">
        <f t="shared" si="0"/>
        <v>0</v>
      </c>
      <c r="L20" s="7">
        <f t="shared" si="1"/>
        <v>0</v>
      </c>
      <c r="M20" s="1"/>
    </row>
    <row r="21" spans="2:13" x14ac:dyDescent="0.35">
      <c r="B21" s="1"/>
      <c r="D21" s="1"/>
      <c r="I21" s="2"/>
      <c r="J21" s="3"/>
      <c r="K21" s="2">
        <f t="shared" si="0"/>
        <v>0</v>
      </c>
      <c r="L21" s="7">
        <f t="shared" si="1"/>
        <v>0</v>
      </c>
      <c r="M21" s="1"/>
    </row>
    <row r="22" spans="2:13" x14ac:dyDescent="0.35">
      <c r="B22" s="1"/>
      <c r="D22" s="1"/>
      <c r="I22" s="2"/>
      <c r="J22" s="3"/>
      <c r="K22" s="2">
        <f t="shared" si="0"/>
        <v>0</v>
      </c>
      <c r="L22" s="7">
        <f t="shared" si="1"/>
        <v>0</v>
      </c>
      <c r="M22" s="1"/>
    </row>
    <row r="23" spans="2:13" x14ac:dyDescent="0.35">
      <c r="B23" s="1"/>
      <c r="D23" s="1"/>
      <c r="I23" s="2"/>
      <c r="J23" s="3"/>
      <c r="K23" s="2">
        <f t="shared" si="0"/>
        <v>0</v>
      </c>
      <c r="L23" s="7">
        <f t="shared" si="1"/>
        <v>0</v>
      </c>
      <c r="M23" s="1"/>
    </row>
    <row r="24" spans="2:13" x14ac:dyDescent="0.35">
      <c r="B24" s="1"/>
      <c r="D24" s="1"/>
      <c r="I24" s="2"/>
      <c r="J24" s="3"/>
      <c r="K24" s="2">
        <f t="shared" si="0"/>
        <v>0</v>
      </c>
      <c r="L24" s="7">
        <f t="shared" si="1"/>
        <v>0</v>
      </c>
      <c r="M24" s="1"/>
    </row>
    <row r="25" spans="2:13" x14ac:dyDescent="0.35">
      <c r="B25" s="1"/>
      <c r="D25" s="1"/>
      <c r="I25" s="2"/>
      <c r="J25" s="3"/>
      <c r="K25" s="2">
        <f t="shared" si="0"/>
        <v>0</v>
      </c>
      <c r="L25" s="7">
        <f t="shared" si="1"/>
        <v>0</v>
      </c>
      <c r="M25" s="1"/>
    </row>
    <row r="26" spans="2:13" x14ac:dyDescent="0.35">
      <c r="B26" s="1"/>
      <c r="D26" s="1"/>
      <c r="I26" s="2"/>
      <c r="J26" s="3"/>
      <c r="K26" s="2">
        <f t="shared" si="0"/>
        <v>0</v>
      </c>
      <c r="L26" s="7">
        <f t="shared" si="1"/>
        <v>0</v>
      </c>
      <c r="M26" s="1"/>
    </row>
    <row r="27" spans="2:13" x14ac:dyDescent="0.35">
      <c r="B27" s="1"/>
      <c r="D27" s="1"/>
      <c r="I27" s="2"/>
      <c r="J27" s="3"/>
      <c r="K27" s="2">
        <f t="shared" si="0"/>
        <v>0</v>
      </c>
      <c r="L27" s="7">
        <f t="shared" si="1"/>
        <v>0</v>
      </c>
      <c r="M27" s="1"/>
    </row>
    <row r="28" spans="2:13" x14ac:dyDescent="0.35">
      <c r="B28" s="1"/>
      <c r="D28" s="1"/>
      <c r="I28" s="2"/>
      <c r="J28" s="3"/>
      <c r="K28" s="2">
        <f t="shared" si="0"/>
        <v>0</v>
      </c>
      <c r="L28" s="7">
        <f t="shared" si="1"/>
        <v>0</v>
      </c>
      <c r="M28" s="1"/>
    </row>
    <row r="29" spans="2:13" x14ac:dyDescent="0.35">
      <c r="B29" s="1"/>
      <c r="D29" s="1"/>
      <c r="I29" s="2"/>
      <c r="J29" s="3"/>
      <c r="K29" s="2">
        <f t="shared" si="0"/>
        <v>0</v>
      </c>
      <c r="L29" s="7">
        <f t="shared" si="1"/>
        <v>0</v>
      </c>
      <c r="M29" s="1"/>
    </row>
    <row r="30" spans="2:13" x14ac:dyDescent="0.35">
      <c r="B30" s="1"/>
      <c r="D30" s="1"/>
      <c r="I30" s="2"/>
      <c r="J30" s="3"/>
      <c r="K30" s="2">
        <f t="shared" si="0"/>
        <v>0</v>
      </c>
      <c r="L30" s="7">
        <f t="shared" si="1"/>
        <v>0</v>
      </c>
      <c r="M30" s="1"/>
    </row>
    <row r="31" spans="2:13" x14ac:dyDescent="0.35">
      <c r="B31" s="1"/>
      <c r="D31" s="1"/>
      <c r="I31" s="2"/>
      <c r="J31" s="3"/>
      <c r="K31" s="2">
        <f t="shared" si="0"/>
        <v>0</v>
      </c>
      <c r="L31" s="7">
        <f t="shared" si="1"/>
        <v>0</v>
      </c>
      <c r="M31" s="1"/>
    </row>
    <row r="32" spans="2:13" x14ac:dyDescent="0.35">
      <c r="B32" s="1"/>
      <c r="D32" s="1"/>
      <c r="I32" s="2"/>
      <c r="J32" s="3"/>
      <c r="K32" s="2">
        <f t="shared" si="0"/>
        <v>0</v>
      </c>
      <c r="L32" s="7">
        <f t="shared" si="1"/>
        <v>0</v>
      </c>
      <c r="M32" s="1"/>
    </row>
    <row r="33" spans="2:13" x14ac:dyDescent="0.35">
      <c r="B33" s="1"/>
      <c r="D33" s="1"/>
      <c r="I33" s="2"/>
      <c r="J33" s="3"/>
      <c r="K33" s="2">
        <f t="shared" si="0"/>
        <v>0</v>
      </c>
      <c r="L33" s="7">
        <f t="shared" si="1"/>
        <v>0</v>
      </c>
      <c r="M33" s="1"/>
    </row>
    <row r="34" spans="2:13" x14ac:dyDescent="0.35">
      <c r="B34" s="1"/>
      <c r="D34" s="1"/>
      <c r="I34" s="2"/>
      <c r="J34" s="3"/>
      <c r="K34" s="2">
        <f t="shared" si="0"/>
        <v>0</v>
      </c>
      <c r="L34" s="7">
        <f t="shared" si="1"/>
        <v>0</v>
      </c>
      <c r="M34" s="1"/>
    </row>
    <row r="35" spans="2:13" x14ac:dyDescent="0.35">
      <c r="B35" s="1"/>
      <c r="D35" s="1"/>
      <c r="I35" s="2"/>
      <c r="J35" s="3"/>
      <c r="K35" s="2">
        <f t="shared" si="0"/>
        <v>0</v>
      </c>
      <c r="L35" s="7">
        <f t="shared" si="1"/>
        <v>0</v>
      </c>
      <c r="M35" s="1"/>
    </row>
    <row r="36" spans="2:13" x14ac:dyDescent="0.35">
      <c r="B36" s="1"/>
      <c r="D36" s="1"/>
      <c r="I36" s="2"/>
      <c r="J36" s="3"/>
      <c r="K36" s="2">
        <f t="shared" si="0"/>
        <v>0</v>
      </c>
      <c r="L36" s="7">
        <f t="shared" si="1"/>
        <v>0</v>
      </c>
      <c r="M36" s="1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0726-8972-4484-8366-18BE9FF49168}">
  <dimension ref="A1:N36"/>
  <sheetViews>
    <sheetView workbookViewId="0">
      <selection activeCell="C14" sqref="C14"/>
    </sheetView>
  </sheetViews>
  <sheetFormatPr baseColWidth="10" defaultRowHeight="14.5" x14ac:dyDescent="0.35"/>
  <cols>
    <col min="2" max="2" width="16.54296875" customWidth="1"/>
    <col min="3" max="3" width="18.54296875" customWidth="1"/>
    <col min="4" max="4" width="12.7265625" customWidth="1"/>
    <col min="5" max="5" width="29.81640625" customWidth="1"/>
    <col min="6" max="6" width="56.7265625" customWidth="1"/>
    <col min="7" max="7" width="19.26953125" customWidth="1"/>
    <col min="8" max="8" width="15.26953125" customWidth="1"/>
  </cols>
  <sheetData>
    <row r="1" spans="1:14" x14ac:dyDescent="0.35">
      <c r="B1" s="1"/>
      <c r="G1" s="1"/>
      <c r="I1" s="1"/>
      <c r="K1" s="1"/>
    </row>
    <row r="2" spans="1:14" x14ac:dyDescent="0.35">
      <c r="A2" s="4" t="s">
        <v>34</v>
      </c>
      <c r="B2" s="5" t="s">
        <v>0</v>
      </c>
      <c r="C2" s="4" t="s">
        <v>1</v>
      </c>
      <c r="D2" s="4" t="s">
        <v>2</v>
      </c>
      <c r="E2" s="4" t="s">
        <v>7</v>
      </c>
      <c r="F2" s="4" t="s">
        <v>8</v>
      </c>
      <c r="G2" s="5" t="s">
        <v>3</v>
      </c>
      <c r="H2" s="4" t="s">
        <v>4</v>
      </c>
      <c r="I2" s="5" t="s">
        <v>5</v>
      </c>
      <c r="J2" s="4" t="s">
        <v>6</v>
      </c>
      <c r="K2" s="5" t="s">
        <v>28</v>
      </c>
      <c r="L2" s="4" t="s">
        <v>32</v>
      </c>
      <c r="M2" s="4" t="s">
        <v>29</v>
      </c>
      <c r="N2" s="4" t="s">
        <v>30</v>
      </c>
    </row>
    <row r="3" spans="1:14" x14ac:dyDescent="0.35">
      <c r="B3" s="1" t="s">
        <v>273</v>
      </c>
      <c r="D3" t="s">
        <v>274</v>
      </c>
      <c r="E3" t="s">
        <v>82</v>
      </c>
      <c r="F3" t="s">
        <v>275</v>
      </c>
      <c r="G3" s="2">
        <v>6.38</v>
      </c>
      <c r="H3" s="3">
        <v>7.79</v>
      </c>
      <c r="I3" s="9" t="e">
        <f>SUM(D3*G3)</f>
        <v>#VALUE!</v>
      </c>
      <c r="J3" s="7">
        <f>SUM(G3*H3)</f>
        <v>49.700200000000002</v>
      </c>
      <c r="K3" s="1"/>
    </row>
    <row r="4" spans="1:14" x14ac:dyDescent="0.35">
      <c r="B4" s="1" t="s">
        <v>643</v>
      </c>
      <c r="G4" s="2"/>
      <c r="H4" s="3"/>
      <c r="I4" s="2">
        <f t="shared" ref="I4:I36" si="0">SUM(D4*G4)</f>
        <v>0</v>
      </c>
      <c r="J4" s="7">
        <f t="shared" ref="J4:J36" si="1">SUM(G4*H4)</f>
        <v>0</v>
      </c>
      <c r="K4" s="1"/>
    </row>
    <row r="5" spans="1:14" x14ac:dyDescent="0.35">
      <c r="B5" s="1" t="s">
        <v>644</v>
      </c>
      <c r="G5" s="2"/>
      <c r="H5" s="3"/>
      <c r="I5" s="2">
        <f t="shared" si="0"/>
        <v>0</v>
      </c>
      <c r="J5" s="7">
        <f t="shared" si="1"/>
        <v>0</v>
      </c>
      <c r="K5" s="1"/>
    </row>
    <row r="6" spans="1:14" x14ac:dyDescent="0.35">
      <c r="B6" s="1"/>
      <c r="G6" s="2"/>
      <c r="H6" s="3"/>
      <c r="I6" s="2">
        <f t="shared" si="0"/>
        <v>0</v>
      </c>
      <c r="J6" s="7">
        <f t="shared" si="1"/>
        <v>0</v>
      </c>
      <c r="K6" s="1"/>
    </row>
    <row r="7" spans="1:14" x14ac:dyDescent="0.35">
      <c r="B7" s="1"/>
      <c r="G7" s="2"/>
      <c r="H7" s="3"/>
      <c r="I7" s="2">
        <f t="shared" si="0"/>
        <v>0</v>
      </c>
      <c r="J7" s="7">
        <f t="shared" si="1"/>
        <v>0</v>
      </c>
      <c r="K7" s="1"/>
    </row>
    <row r="8" spans="1:14" x14ac:dyDescent="0.35">
      <c r="B8" s="1"/>
      <c r="G8" s="2"/>
      <c r="H8" s="3"/>
      <c r="I8" s="2">
        <f t="shared" si="0"/>
        <v>0</v>
      </c>
      <c r="J8" s="7">
        <f t="shared" si="1"/>
        <v>0</v>
      </c>
      <c r="K8" s="1"/>
    </row>
    <row r="9" spans="1:14" x14ac:dyDescent="0.35">
      <c r="B9" s="1"/>
      <c r="G9" s="2"/>
      <c r="H9" s="3"/>
      <c r="I9" s="2">
        <f t="shared" si="0"/>
        <v>0</v>
      </c>
      <c r="J9" s="7">
        <f t="shared" si="1"/>
        <v>0</v>
      </c>
      <c r="K9" s="1"/>
    </row>
    <row r="10" spans="1:14" x14ac:dyDescent="0.35">
      <c r="B10" s="1"/>
      <c r="G10" s="2"/>
      <c r="H10" s="3"/>
      <c r="I10" s="2">
        <f t="shared" si="0"/>
        <v>0</v>
      </c>
      <c r="J10" s="7">
        <f t="shared" si="1"/>
        <v>0</v>
      </c>
      <c r="K10" s="1"/>
    </row>
    <row r="11" spans="1:14" x14ac:dyDescent="0.35">
      <c r="B11" s="1"/>
      <c r="G11" s="2"/>
      <c r="H11" s="3"/>
      <c r="I11" s="2">
        <f t="shared" si="0"/>
        <v>0</v>
      </c>
      <c r="J11" s="7">
        <f t="shared" si="1"/>
        <v>0</v>
      </c>
      <c r="K11" s="1"/>
    </row>
    <row r="12" spans="1:14" x14ac:dyDescent="0.35">
      <c r="B12" s="1"/>
      <c r="G12" s="2"/>
      <c r="H12" s="3"/>
      <c r="I12" s="2">
        <f t="shared" si="0"/>
        <v>0</v>
      </c>
      <c r="J12" s="7">
        <f t="shared" si="1"/>
        <v>0</v>
      </c>
      <c r="K12" s="1"/>
    </row>
    <row r="13" spans="1:14" x14ac:dyDescent="0.35">
      <c r="B13" s="1"/>
      <c r="G13" s="2"/>
      <c r="H13" s="3"/>
      <c r="I13" s="2">
        <f t="shared" si="0"/>
        <v>0</v>
      </c>
      <c r="J13" s="7">
        <f t="shared" si="1"/>
        <v>0</v>
      </c>
      <c r="K13" s="1"/>
    </row>
    <row r="14" spans="1:14" x14ac:dyDescent="0.35">
      <c r="B14" s="1"/>
      <c r="G14" s="2"/>
      <c r="H14" s="3"/>
      <c r="I14" s="2">
        <f t="shared" si="0"/>
        <v>0</v>
      </c>
      <c r="J14" s="7">
        <f t="shared" si="1"/>
        <v>0</v>
      </c>
      <c r="K14" s="1"/>
    </row>
    <row r="15" spans="1:14" x14ac:dyDescent="0.35">
      <c r="B15" s="1"/>
      <c r="G15" s="2"/>
      <c r="H15" s="3"/>
      <c r="I15" s="2">
        <f t="shared" si="0"/>
        <v>0</v>
      </c>
      <c r="J15" s="7">
        <f t="shared" si="1"/>
        <v>0</v>
      </c>
      <c r="K15" s="1"/>
    </row>
    <row r="16" spans="1:14" x14ac:dyDescent="0.35">
      <c r="B16" s="1"/>
      <c r="G16" s="2"/>
      <c r="H16" s="3"/>
      <c r="I16" s="2">
        <f t="shared" si="0"/>
        <v>0</v>
      </c>
      <c r="J16" s="7">
        <f t="shared" si="1"/>
        <v>0</v>
      </c>
      <c r="K16" s="1"/>
    </row>
    <row r="17" spans="2:11" x14ac:dyDescent="0.35">
      <c r="B17" s="1"/>
      <c r="G17" s="2"/>
      <c r="H17" s="3"/>
      <c r="I17" s="2">
        <f t="shared" si="0"/>
        <v>0</v>
      </c>
      <c r="J17" s="7">
        <f t="shared" si="1"/>
        <v>0</v>
      </c>
      <c r="K17" s="1"/>
    </row>
    <row r="18" spans="2:11" x14ac:dyDescent="0.35">
      <c r="B18" s="1"/>
      <c r="G18" s="2"/>
      <c r="H18" s="3"/>
      <c r="I18" s="2">
        <f t="shared" si="0"/>
        <v>0</v>
      </c>
      <c r="J18" s="7">
        <f t="shared" si="1"/>
        <v>0</v>
      </c>
      <c r="K18" s="1"/>
    </row>
    <row r="19" spans="2:11" x14ac:dyDescent="0.35">
      <c r="B19" s="1"/>
      <c r="G19" s="2"/>
      <c r="H19" s="3"/>
      <c r="I19" s="2">
        <f t="shared" si="0"/>
        <v>0</v>
      </c>
      <c r="J19" s="7">
        <f t="shared" si="1"/>
        <v>0</v>
      </c>
      <c r="K19" s="1"/>
    </row>
    <row r="20" spans="2:11" x14ac:dyDescent="0.35">
      <c r="B20" s="1"/>
      <c r="G20" s="2"/>
      <c r="H20" s="3"/>
      <c r="I20" s="2">
        <f t="shared" si="0"/>
        <v>0</v>
      </c>
      <c r="J20" s="7">
        <f t="shared" si="1"/>
        <v>0</v>
      </c>
      <c r="K20" s="1"/>
    </row>
    <row r="21" spans="2:11" x14ac:dyDescent="0.35">
      <c r="B21" s="1"/>
      <c r="G21" s="2"/>
      <c r="H21" s="3"/>
      <c r="I21" s="2">
        <f t="shared" si="0"/>
        <v>0</v>
      </c>
      <c r="J21" s="7">
        <f t="shared" si="1"/>
        <v>0</v>
      </c>
      <c r="K21" s="1"/>
    </row>
    <row r="22" spans="2:11" x14ac:dyDescent="0.35">
      <c r="B22" s="1"/>
      <c r="G22" s="2"/>
      <c r="H22" s="3"/>
      <c r="I22" s="2">
        <f t="shared" si="0"/>
        <v>0</v>
      </c>
      <c r="J22" s="7">
        <f t="shared" si="1"/>
        <v>0</v>
      </c>
      <c r="K22" s="1"/>
    </row>
    <row r="23" spans="2:11" x14ac:dyDescent="0.35">
      <c r="B23" s="1"/>
      <c r="G23" s="2"/>
      <c r="H23" s="3"/>
      <c r="I23" s="2">
        <f t="shared" si="0"/>
        <v>0</v>
      </c>
      <c r="J23" s="7">
        <f t="shared" si="1"/>
        <v>0</v>
      </c>
      <c r="K23" s="1"/>
    </row>
    <row r="24" spans="2:11" x14ac:dyDescent="0.35">
      <c r="B24" s="1"/>
      <c r="G24" s="2"/>
      <c r="H24" s="3"/>
      <c r="I24" s="2">
        <f t="shared" si="0"/>
        <v>0</v>
      </c>
      <c r="J24" s="7">
        <f t="shared" si="1"/>
        <v>0</v>
      </c>
      <c r="K24" s="1"/>
    </row>
    <row r="25" spans="2:11" x14ac:dyDescent="0.35">
      <c r="B25" s="1"/>
      <c r="G25" s="2"/>
      <c r="H25" s="3"/>
      <c r="I25" s="2">
        <f t="shared" si="0"/>
        <v>0</v>
      </c>
      <c r="J25" s="7">
        <f t="shared" si="1"/>
        <v>0</v>
      </c>
      <c r="K25" s="1"/>
    </row>
    <row r="26" spans="2:11" x14ac:dyDescent="0.35">
      <c r="B26" s="1"/>
      <c r="G26" s="2"/>
      <c r="H26" s="3"/>
      <c r="I26" s="2">
        <f t="shared" si="0"/>
        <v>0</v>
      </c>
      <c r="J26" s="7">
        <f t="shared" si="1"/>
        <v>0</v>
      </c>
      <c r="K26" s="1"/>
    </row>
    <row r="27" spans="2:11" x14ac:dyDescent="0.35">
      <c r="B27" s="1"/>
      <c r="G27" s="2"/>
      <c r="H27" s="3"/>
      <c r="I27" s="2">
        <f t="shared" si="0"/>
        <v>0</v>
      </c>
      <c r="J27" s="7">
        <f t="shared" si="1"/>
        <v>0</v>
      </c>
      <c r="K27" s="1"/>
    </row>
    <row r="28" spans="2:11" x14ac:dyDescent="0.35">
      <c r="B28" s="1"/>
      <c r="G28" s="2"/>
      <c r="H28" s="3"/>
      <c r="I28" s="2">
        <f t="shared" si="0"/>
        <v>0</v>
      </c>
      <c r="J28" s="7">
        <f t="shared" si="1"/>
        <v>0</v>
      </c>
      <c r="K28" s="1"/>
    </row>
    <row r="29" spans="2:11" x14ac:dyDescent="0.35">
      <c r="B29" s="1"/>
      <c r="G29" s="2"/>
      <c r="H29" s="3"/>
      <c r="I29" s="2">
        <f t="shared" si="0"/>
        <v>0</v>
      </c>
      <c r="J29" s="7">
        <f t="shared" si="1"/>
        <v>0</v>
      </c>
      <c r="K29" s="1"/>
    </row>
    <row r="30" spans="2:11" x14ac:dyDescent="0.35">
      <c r="B30" s="1"/>
      <c r="G30" s="2"/>
      <c r="H30" s="3"/>
      <c r="I30" s="2">
        <f t="shared" si="0"/>
        <v>0</v>
      </c>
      <c r="J30" s="7">
        <f t="shared" si="1"/>
        <v>0</v>
      </c>
      <c r="K30" s="1"/>
    </row>
    <row r="31" spans="2:11" x14ac:dyDescent="0.35">
      <c r="B31" s="1"/>
      <c r="G31" s="2"/>
      <c r="H31" s="3"/>
      <c r="I31" s="2">
        <f t="shared" si="0"/>
        <v>0</v>
      </c>
      <c r="J31" s="7">
        <f t="shared" si="1"/>
        <v>0</v>
      </c>
      <c r="K31" s="1"/>
    </row>
    <row r="32" spans="2:11" x14ac:dyDescent="0.35">
      <c r="B32" s="1"/>
      <c r="G32" s="2"/>
      <c r="H32" s="3"/>
      <c r="I32" s="2">
        <f t="shared" si="0"/>
        <v>0</v>
      </c>
      <c r="J32" s="7">
        <f t="shared" si="1"/>
        <v>0</v>
      </c>
      <c r="K32" s="1"/>
    </row>
    <row r="33" spans="2:11" x14ac:dyDescent="0.35">
      <c r="B33" s="1"/>
      <c r="G33" s="2"/>
      <c r="H33" s="3"/>
      <c r="I33" s="2">
        <f t="shared" si="0"/>
        <v>0</v>
      </c>
      <c r="J33" s="7">
        <f t="shared" si="1"/>
        <v>0</v>
      </c>
      <c r="K33" s="1"/>
    </row>
    <row r="34" spans="2:11" x14ac:dyDescent="0.35">
      <c r="B34" s="1"/>
      <c r="G34" s="2"/>
      <c r="H34" s="3"/>
      <c r="I34" s="2">
        <f t="shared" si="0"/>
        <v>0</v>
      </c>
      <c r="J34" s="7">
        <f t="shared" si="1"/>
        <v>0</v>
      </c>
      <c r="K34" s="1"/>
    </row>
    <row r="35" spans="2:11" x14ac:dyDescent="0.35">
      <c r="B35" s="1"/>
      <c r="G35" s="2"/>
      <c r="H35" s="3"/>
      <c r="I35" s="2">
        <f t="shared" si="0"/>
        <v>0</v>
      </c>
      <c r="J35" s="7">
        <f t="shared" si="1"/>
        <v>0</v>
      </c>
      <c r="K35" s="1"/>
    </row>
    <row r="36" spans="2:11" x14ac:dyDescent="0.35">
      <c r="B36" s="1"/>
      <c r="G36" s="2"/>
      <c r="H36" s="3"/>
      <c r="I36" s="2">
        <f t="shared" si="0"/>
        <v>0</v>
      </c>
      <c r="J36" s="7">
        <f t="shared" si="1"/>
        <v>0</v>
      </c>
      <c r="K36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4D405-8C7F-4FE5-86B6-1F996C3AD44E}">
  <dimension ref="A1:Z15"/>
  <sheetViews>
    <sheetView workbookViewId="0">
      <selection activeCell="B16" sqref="B16"/>
    </sheetView>
  </sheetViews>
  <sheetFormatPr baseColWidth="10" defaultRowHeight="14.5" x14ac:dyDescent="0.35"/>
  <cols>
    <col min="3" max="3" width="18.453125" customWidth="1"/>
    <col min="6" max="6" width="33.1796875" customWidth="1"/>
  </cols>
  <sheetData>
    <row r="1" spans="1:26" x14ac:dyDescent="0.35">
      <c r="A1" s="87" t="s">
        <v>555</v>
      </c>
      <c r="B1" s="87" t="s">
        <v>34</v>
      </c>
      <c r="C1" s="76" t="s">
        <v>10</v>
      </c>
      <c r="D1" s="76" t="s">
        <v>11</v>
      </c>
      <c r="E1" s="76" t="s">
        <v>94</v>
      </c>
      <c r="F1" s="76" t="s">
        <v>95</v>
      </c>
      <c r="G1" s="76" t="s">
        <v>2</v>
      </c>
      <c r="H1" s="76" t="s">
        <v>207</v>
      </c>
      <c r="I1" s="76" t="s">
        <v>7</v>
      </c>
      <c r="J1" s="88" t="s">
        <v>254</v>
      </c>
      <c r="K1" s="88" t="s">
        <v>4</v>
      </c>
      <c r="L1" s="88" t="s">
        <v>5</v>
      </c>
      <c r="M1" s="88" t="s">
        <v>6</v>
      </c>
      <c r="N1" s="76" t="s">
        <v>28</v>
      </c>
      <c r="O1" s="76" t="s">
        <v>32</v>
      </c>
      <c r="P1" s="76" t="s">
        <v>29</v>
      </c>
      <c r="Q1" s="76" t="s">
        <v>30</v>
      </c>
      <c r="R1" s="76" t="s">
        <v>31</v>
      </c>
      <c r="T1" s="66" t="s">
        <v>292</v>
      </c>
      <c r="U1" s="66" t="s">
        <v>9</v>
      </c>
      <c r="V1" s="66" t="s">
        <v>416</v>
      </c>
      <c r="W1" s="66" t="s">
        <v>301</v>
      </c>
      <c r="X1" s="66" t="s">
        <v>417</v>
      </c>
      <c r="Y1" s="66" t="s">
        <v>43</v>
      </c>
      <c r="Z1" s="66" t="s">
        <v>33</v>
      </c>
    </row>
    <row r="2" spans="1:26" x14ac:dyDescent="0.35">
      <c r="B2" s="85" t="s">
        <v>104</v>
      </c>
      <c r="C2" s="68" t="s">
        <v>92</v>
      </c>
      <c r="D2" s="68" t="s">
        <v>93</v>
      </c>
      <c r="E2" s="68" t="s">
        <v>118</v>
      </c>
      <c r="F2" s="69" t="s">
        <v>474</v>
      </c>
      <c r="G2" s="68">
        <v>1</v>
      </c>
      <c r="H2" s="68" t="s">
        <v>14</v>
      </c>
      <c r="I2" s="69" t="s">
        <v>14</v>
      </c>
      <c r="J2" s="73" t="s">
        <v>228</v>
      </c>
      <c r="K2" s="89">
        <v>1799</v>
      </c>
      <c r="L2" s="73"/>
      <c r="M2" s="73">
        <v>1799</v>
      </c>
      <c r="N2" s="68"/>
      <c r="O2" s="68"/>
      <c r="P2" s="68"/>
      <c r="Q2" s="68"/>
      <c r="R2" s="68"/>
    </row>
    <row r="3" spans="1:26" x14ac:dyDescent="0.35">
      <c r="B3" s="85" t="s">
        <v>296</v>
      </c>
      <c r="C3" s="68" t="s">
        <v>289</v>
      </c>
      <c r="D3" s="68" t="s">
        <v>93</v>
      </c>
      <c r="E3" s="68" t="s">
        <v>118</v>
      </c>
      <c r="F3" s="69" t="s">
        <v>472</v>
      </c>
      <c r="G3" s="68">
        <v>10</v>
      </c>
      <c r="H3" s="68"/>
      <c r="I3" s="68"/>
      <c r="J3" s="73"/>
      <c r="K3" s="73"/>
      <c r="L3" s="73">
        <v>0</v>
      </c>
      <c r="M3" s="73">
        <v>0</v>
      </c>
      <c r="N3" s="68"/>
      <c r="O3" s="68"/>
      <c r="P3" s="68"/>
      <c r="Q3" s="68"/>
      <c r="R3" s="68"/>
    </row>
    <row r="4" spans="1:26" x14ac:dyDescent="0.35">
      <c r="B4" s="85" t="s">
        <v>310</v>
      </c>
      <c r="C4" s="68" t="s">
        <v>289</v>
      </c>
      <c r="D4" s="68" t="s">
        <v>93</v>
      </c>
      <c r="E4" s="69" t="s">
        <v>170</v>
      </c>
      <c r="F4" s="69" t="s">
        <v>471</v>
      </c>
      <c r="G4" s="68">
        <v>10</v>
      </c>
      <c r="H4" s="68"/>
      <c r="I4" s="68"/>
      <c r="J4" s="73"/>
      <c r="K4" s="73"/>
      <c r="L4" s="73">
        <v>0</v>
      </c>
      <c r="M4" s="73">
        <v>0</v>
      </c>
      <c r="N4" s="68"/>
      <c r="O4" s="68"/>
      <c r="P4" s="68"/>
      <c r="Q4" s="68"/>
      <c r="R4" s="68"/>
    </row>
    <row r="5" spans="1:26" x14ac:dyDescent="0.35">
      <c r="B5" s="98" t="s">
        <v>549</v>
      </c>
      <c r="C5" s="68" t="s">
        <v>311</v>
      </c>
      <c r="D5" s="68" t="s">
        <v>93</v>
      </c>
      <c r="E5" s="68" t="s">
        <v>118</v>
      </c>
      <c r="F5" s="68" t="s">
        <v>459</v>
      </c>
      <c r="G5" s="68">
        <v>1</v>
      </c>
      <c r="H5" s="69" t="s">
        <v>14</v>
      </c>
      <c r="I5" s="69" t="s">
        <v>517</v>
      </c>
      <c r="J5" s="73"/>
      <c r="K5" s="94">
        <v>400</v>
      </c>
      <c r="L5" s="73"/>
      <c r="M5" s="73">
        <v>400</v>
      </c>
      <c r="N5" s="68"/>
      <c r="O5" s="68"/>
      <c r="P5" s="68"/>
      <c r="Q5" s="68"/>
      <c r="R5" s="68"/>
    </row>
    <row r="6" spans="1:26" ht="29" x14ac:dyDescent="0.35">
      <c r="B6" s="85" t="s">
        <v>321</v>
      </c>
      <c r="C6" s="74" t="s">
        <v>322</v>
      </c>
      <c r="D6" s="68" t="s">
        <v>93</v>
      </c>
      <c r="E6" s="68" t="s">
        <v>118</v>
      </c>
      <c r="F6" s="68" t="s">
        <v>323</v>
      </c>
      <c r="G6" s="68">
        <v>18</v>
      </c>
      <c r="H6" s="68"/>
      <c r="I6" s="68"/>
      <c r="J6" s="73"/>
      <c r="K6" s="94">
        <v>500</v>
      </c>
      <c r="L6" s="73"/>
      <c r="M6" s="94">
        <v>9000</v>
      </c>
      <c r="N6" s="68"/>
      <c r="O6" s="68"/>
      <c r="P6" s="68"/>
      <c r="Q6" s="68"/>
      <c r="R6" s="68"/>
    </row>
    <row r="7" spans="1:26" x14ac:dyDescent="0.35">
      <c r="B7" s="85" t="s">
        <v>400</v>
      </c>
      <c r="C7" s="74" t="s">
        <v>386</v>
      </c>
      <c r="D7" s="68" t="s">
        <v>93</v>
      </c>
      <c r="E7" s="68" t="s">
        <v>118</v>
      </c>
      <c r="F7" s="68" t="s">
        <v>9</v>
      </c>
      <c r="G7" s="69">
        <v>4</v>
      </c>
      <c r="H7" s="68"/>
      <c r="I7" s="68"/>
      <c r="J7" s="73"/>
      <c r="K7" s="100">
        <v>300</v>
      </c>
      <c r="L7" s="94"/>
      <c r="M7" s="94">
        <v>1200</v>
      </c>
      <c r="N7" s="68"/>
      <c r="O7" s="68"/>
      <c r="P7" s="68"/>
      <c r="Q7" s="68"/>
      <c r="R7" s="68"/>
    </row>
    <row r="8" spans="1:26" x14ac:dyDescent="0.35">
      <c r="B8" s="85" t="s">
        <v>97</v>
      </c>
      <c r="C8" s="68" t="s">
        <v>92</v>
      </c>
      <c r="D8" s="68" t="s">
        <v>93</v>
      </c>
      <c r="E8" s="68" t="s">
        <v>118</v>
      </c>
      <c r="F8" s="69" t="s">
        <v>43</v>
      </c>
      <c r="G8" s="68">
        <v>1</v>
      </c>
      <c r="H8" s="68" t="s">
        <v>122</v>
      </c>
      <c r="I8" s="69" t="s">
        <v>124</v>
      </c>
      <c r="J8" s="73" t="s">
        <v>228</v>
      </c>
      <c r="K8" s="89">
        <v>1845</v>
      </c>
      <c r="L8" s="73"/>
      <c r="M8" s="73">
        <v>1845</v>
      </c>
      <c r="N8" s="68"/>
      <c r="O8" s="68"/>
      <c r="P8" s="68"/>
      <c r="Q8" s="68"/>
      <c r="R8" s="68"/>
    </row>
    <row r="9" spans="1:26" x14ac:dyDescent="0.35">
      <c r="B9" s="85" t="s">
        <v>303</v>
      </c>
      <c r="C9" s="68" t="s">
        <v>289</v>
      </c>
      <c r="D9" s="68" t="s">
        <v>93</v>
      </c>
      <c r="E9" s="69" t="s">
        <v>118</v>
      </c>
      <c r="F9" s="69" t="s">
        <v>304</v>
      </c>
      <c r="G9" s="68">
        <v>1</v>
      </c>
      <c r="H9" s="68"/>
      <c r="I9" s="68"/>
      <c r="J9" s="73"/>
      <c r="K9" s="73"/>
      <c r="L9" s="73">
        <v>0</v>
      </c>
      <c r="M9" s="73">
        <v>0</v>
      </c>
      <c r="N9" s="68"/>
      <c r="O9" s="68"/>
      <c r="P9" s="68"/>
      <c r="Q9" s="68"/>
      <c r="R9" s="68"/>
    </row>
    <row r="10" spans="1:26" x14ac:dyDescent="0.35">
      <c r="B10" s="98" t="s">
        <v>550</v>
      </c>
      <c r="C10" s="68" t="s">
        <v>311</v>
      </c>
      <c r="D10" s="68" t="s">
        <v>93</v>
      </c>
      <c r="E10" s="68" t="s">
        <v>118</v>
      </c>
      <c r="F10" s="68" t="s">
        <v>512</v>
      </c>
      <c r="G10" s="68">
        <v>1</v>
      </c>
      <c r="H10" s="69" t="s">
        <v>122</v>
      </c>
      <c r="I10" s="69" t="s">
        <v>122</v>
      </c>
      <c r="J10" s="89">
        <v>4522.28</v>
      </c>
      <c r="K10" s="89">
        <v>5381.51</v>
      </c>
      <c r="L10" s="73">
        <v>4522.28</v>
      </c>
      <c r="M10" s="73">
        <v>5381.51</v>
      </c>
      <c r="N10" s="68"/>
      <c r="O10" s="68"/>
      <c r="P10" s="68"/>
      <c r="Q10" s="68"/>
      <c r="R10" s="68"/>
    </row>
    <row r="11" spans="1:26" x14ac:dyDescent="0.35">
      <c r="B11" s="98" t="s">
        <v>551</v>
      </c>
      <c r="C11" s="68" t="s">
        <v>311</v>
      </c>
      <c r="D11" s="68" t="s">
        <v>315</v>
      </c>
      <c r="E11" s="68" t="s">
        <v>118</v>
      </c>
      <c r="F11" s="68" t="s">
        <v>527</v>
      </c>
      <c r="G11" s="68">
        <v>1</v>
      </c>
      <c r="H11" s="69"/>
      <c r="I11" s="69"/>
      <c r="J11" s="73"/>
      <c r="K11" s="94">
        <v>60</v>
      </c>
      <c r="L11" s="73"/>
      <c r="M11" s="73">
        <v>60</v>
      </c>
      <c r="N11" s="68"/>
      <c r="O11" s="68"/>
      <c r="P11" s="68"/>
      <c r="Q11" s="68"/>
      <c r="R11" s="68"/>
    </row>
    <row r="12" spans="1:26" ht="29" x14ac:dyDescent="0.35">
      <c r="B12" s="85" t="s">
        <v>326</v>
      </c>
      <c r="C12" s="74" t="s">
        <v>322</v>
      </c>
      <c r="D12" s="68" t="s">
        <v>93</v>
      </c>
      <c r="E12" s="68" t="s">
        <v>118</v>
      </c>
      <c r="F12" s="68" t="s">
        <v>327</v>
      </c>
      <c r="G12" s="68">
        <v>1</v>
      </c>
      <c r="H12" s="68"/>
      <c r="I12" s="68"/>
      <c r="J12" s="73"/>
      <c r="K12" s="94" t="s">
        <v>383</v>
      </c>
      <c r="L12" s="73"/>
      <c r="M12" s="94"/>
      <c r="N12" s="68"/>
      <c r="O12" s="68"/>
      <c r="P12" s="102" t="s">
        <v>384</v>
      </c>
      <c r="Q12" s="68"/>
      <c r="R12" s="68"/>
    </row>
    <row r="13" spans="1:26" ht="29" x14ac:dyDescent="0.35">
      <c r="B13" s="85" t="s">
        <v>328</v>
      </c>
      <c r="C13" s="74" t="s">
        <v>322</v>
      </c>
      <c r="D13" s="68" t="s">
        <v>93</v>
      </c>
      <c r="E13" s="68" t="s">
        <v>118</v>
      </c>
      <c r="F13" s="68" t="s">
        <v>329</v>
      </c>
      <c r="G13" s="68">
        <v>1</v>
      </c>
      <c r="H13" s="68"/>
      <c r="I13" s="68"/>
      <c r="J13" s="73"/>
      <c r="K13" s="94" t="s">
        <v>383</v>
      </c>
      <c r="L13" s="73"/>
      <c r="M13" s="94"/>
      <c r="N13" s="68"/>
      <c r="O13" s="68"/>
      <c r="P13" s="68"/>
      <c r="Q13" s="68"/>
      <c r="R13" s="68"/>
    </row>
    <row r="14" spans="1:26" x14ac:dyDescent="0.35">
      <c r="B14" s="85" t="s">
        <v>380</v>
      </c>
      <c r="C14" s="74" t="s">
        <v>352</v>
      </c>
      <c r="D14" s="68" t="s">
        <v>93</v>
      </c>
      <c r="E14" s="68" t="s">
        <v>118</v>
      </c>
      <c r="F14" s="68" t="s">
        <v>43</v>
      </c>
      <c r="G14" s="68">
        <v>1</v>
      </c>
      <c r="H14" s="68"/>
      <c r="I14" s="68" t="s">
        <v>354</v>
      </c>
      <c r="J14" s="73"/>
      <c r="K14" s="94">
        <v>5000</v>
      </c>
      <c r="L14" s="73"/>
      <c r="M14" s="94">
        <v>5000</v>
      </c>
      <c r="N14" s="68"/>
      <c r="O14" s="68"/>
      <c r="P14" s="68"/>
      <c r="Q14" s="68"/>
      <c r="R14" s="68"/>
    </row>
    <row r="15" spans="1:26" x14ac:dyDescent="0.35">
      <c r="B15" s="85" t="s">
        <v>406</v>
      </c>
      <c r="C15" s="74" t="s">
        <v>386</v>
      </c>
      <c r="D15" s="68" t="s">
        <v>93</v>
      </c>
      <c r="E15" s="68" t="s">
        <v>118</v>
      </c>
      <c r="F15" s="69" t="s">
        <v>390</v>
      </c>
      <c r="G15" s="69">
        <v>1</v>
      </c>
      <c r="H15" s="68"/>
      <c r="I15" s="68"/>
      <c r="J15" s="73"/>
      <c r="K15" s="73" t="s">
        <v>415</v>
      </c>
      <c r="L15" s="73"/>
      <c r="M15" s="73"/>
      <c r="N15" s="68"/>
      <c r="O15" s="68"/>
      <c r="P15" s="68"/>
      <c r="Q15" s="68"/>
      <c r="R15" s="68"/>
    </row>
  </sheetData>
  <autoFilter ref="B1:R15" xr:uid="{6177DB35-3DAE-472E-87C0-C3A5EAA199C1}"/>
  <conditionalFormatting sqref="B2:R7">
    <cfRule type="containsText" dxfId="7" priority="8" operator="containsText" text="Dienstleistung">
      <formula>NOT(ISERROR(SEARCH("Dienstleistung",B2)))</formula>
    </cfRule>
  </conditionalFormatting>
  <conditionalFormatting sqref="B1:R1">
    <cfRule type="containsText" dxfId="6" priority="7" operator="containsText" text="Dienstleistung">
      <formula>NOT(ISERROR(SEARCH("Dienstleistung",B1)))</formula>
    </cfRule>
  </conditionalFormatting>
  <conditionalFormatting sqref="H22">
    <cfRule type="containsText" dxfId="5" priority="6" operator="containsText" text="Tablet">
      <formula>NOT(ISERROR(SEARCH("Tablet",H22)))</formula>
    </cfRule>
  </conditionalFormatting>
  <conditionalFormatting sqref="A16:XFD1048576 S8:XFD15 A1:XFD7">
    <cfRule type="containsText" dxfId="4" priority="5" operator="containsText" text="Tablet">
      <formula>NOT(ISERROR(SEARCH("Tablet",A1)))</formula>
    </cfRule>
  </conditionalFormatting>
  <conditionalFormatting sqref="B8:R15">
    <cfRule type="containsText" dxfId="3" priority="4" operator="containsText" text="Dienstleistung">
      <formula>NOT(ISERROR(SEARCH("Dienstleistung",B8)))</formula>
    </cfRule>
  </conditionalFormatting>
  <conditionalFormatting sqref="B1:R21">
    <cfRule type="containsText" dxfId="2" priority="3" operator="containsText" text="Beamer">
      <formula>NOT(ISERROR(SEARCH("Beamer",B1)))</formula>
    </cfRule>
  </conditionalFormatting>
  <conditionalFormatting sqref="A1">
    <cfRule type="containsText" dxfId="1" priority="2" operator="containsText" text="Dienstleistung">
      <formula>NOT(ISERROR(SEARCH("Dienstleistung",A1)))</formula>
    </cfRule>
  </conditionalFormatting>
  <conditionalFormatting sqref="A1">
    <cfRule type="containsText" dxfId="0" priority="1" operator="containsText" text="Beamer">
      <formula>NOT(ISERROR(SEARCH("Beamer",A1)))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Mobiler Dritter Ort</vt:lpstr>
      <vt:lpstr>Stationäre Dritte Orte</vt:lpstr>
      <vt:lpstr>Museen.digital</vt:lpstr>
      <vt:lpstr>Kulturschätze.digital</vt:lpstr>
      <vt:lpstr>DigiFit</vt:lpstr>
      <vt:lpstr>Digitallotsen</vt:lpstr>
      <vt:lpstr>Übersicht EDV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 Milena</dc:creator>
  <cp:lastModifiedBy>Sanchez Cristhian</cp:lastModifiedBy>
  <cp:lastPrinted>2025-10-23T14:14:48Z</cp:lastPrinted>
  <dcterms:created xsi:type="dcterms:W3CDTF">2015-06-05T18:19:34Z</dcterms:created>
  <dcterms:modified xsi:type="dcterms:W3CDTF">2025-10-27T14:51:24Z</dcterms:modified>
</cp:coreProperties>
</file>